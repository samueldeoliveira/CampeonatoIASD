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nu" sheetId="1" state="visible" r:id="rId1"/>
    <sheet xmlns:r="http://schemas.openxmlformats.org/officeDocument/2006/relationships" name="Config" sheetId="2" state="visible" r:id="rId2"/>
    <sheet xmlns:r="http://schemas.openxmlformats.org/officeDocument/2006/relationships" name="Listas" sheetId="3" state="visible" r:id="rId3"/>
    <sheet xmlns:r="http://schemas.openxmlformats.org/officeDocument/2006/relationships" name="Cadastro_Times" sheetId="4" state="visible" r:id="rId4"/>
    <sheet xmlns:r="http://schemas.openxmlformats.org/officeDocument/2006/relationships" name="Cadastro_Atletas" sheetId="5" state="visible" r:id="rId5"/>
    <sheet xmlns:r="http://schemas.openxmlformats.org/officeDocument/2006/relationships" name="Jogos_Futsal" sheetId="6" state="visible" r:id="rId6"/>
    <sheet xmlns:r="http://schemas.openxmlformats.org/officeDocument/2006/relationships" name="Class_Futsal" sheetId="7" state="visible" r:id="rId7"/>
    <sheet xmlns:r="http://schemas.openxmlformats.org/officeDocument/2006/relationships" name="Planejamento_Futsal" sheetId="8" state="visible" r:id="rId8"/>
    <sheet xmlns:r="http://schemas.openxmlformats.org/officeDocument/2006/relationships" name="Jogos_Volei" sheetId="9" state="visible" r:id="rId9"/>
    <sheet xmlns:r="http://schemas.openxmlformats.org/officeDocument/2006/relationships" name="Class_Volei" sheetId="10" state="visible" r:id="rId10"/>
    <sheet xmlns:r="http://schemas.openxmlformats.org/officeDocument/2006/relationships" name="Planejamento_Volei" sheetId="11" state="visible" r:id="rId11"/>
    <sheet xmlns:r="http://schemas.openxmlformats.org/officeDocument/2006/relationships" name="Sumula_Futsal" sheetId="12" state="visible" r:id="rId12"/>
    <sheet xmlns:r="http://schemas.openxmlformats.org/officeDocument/2006/relationships" name="Sumula_Volei" sheetId="13" state="visible" r:id="rId13"/>
    <sheet xmlns:r="http://schemas.openxmlformats.org/officeDocument/2006/relationships" name="Rankings" sheetId="14" state="visible" r:id="rId14"/>
    <sheet xmlns:r="http://schemas.openxmlformats.org/officeDocument/2006/relationships" name="Dashboard" sheetId="15" state="visible" r:id="rId15"/>
    <sheet xmlns:r="http://schemas.openxmlformats.org/officeDocument/2006/relationships" name="Instrucoes" sheetId="16" state="visible" r:id="rId16"/>
  </sheets>
  <definedNames>
    <definedName name="_xlnm._FilterDatabase" localSheetId="2" hidden="1">'Listas'!$A$1:$G$8</definedName>
    <definedName name="_xlnm._FilterDatabase" localSheetId="3" hidden="1">'Cadastro_Times'!$A$1:$I$21</definedName>
    <definedName name="_xlnm._FilterDatabase" localSheetId="4" hidden="1">'Cadastro_Atletas'!$A$1:$L$401</definedName>
    <definedName name="_xlnm._FilterDatabase" localSheetId="5" hidden="1">'Jogos_Futsal'!$A$1:$K$201</definedName>
    <definedName name="_xlnm._FilterDatabase" localSheetId="6" hidden="1">'Class_Futsal'!$A$1:$J$21</definedName>
    <definedName name="_xlnm._FilterDatabase" localSheetId="7" hidden="1">'Planejamento_Futsal'!$A$1:$G$7</definedName>
    <definedName name="_xlnm._FilterDatabase" localSheetId="8" hidden="1">'Jogos_Volei'!$A$1:$M$201</definedName>
    <definedName name="_xlnm._FilterDatabase" localSheetId="9" hidden="1">'Class_Volei'!$A$1:$L$21</definedName>
    <definedName name="_xlnm._FilterDatabase" localSheetId="10" hidden="1">'Planejamento_Volei'!$A$1:$G$7</definedName>
    <definedName name="_xlnm._FilterDatabase" localSheetId="11" hidden="1">'Sumula_Futsal'!$A$1:$M$301</definedName>
    <definedName name="_xlnm._FilterDatabase" localSheetId="12" hidden="1">'Sumula_Volei'!$A$1:$L$301</definedName>
    <definedName name="_xlnm._FilterDatabase" localSheetId="13" hidden="1">'Rankings'!$A$1:$C$9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6"/>
    </font>
    <font>
      <name val="Calibri"/>
      <family val="2"/>
      <color theme="10"/>
      <sz val="12"/>
      <scheme val="minor"/>
    </font>
    <font>
      <b val="1"/>
      <color rgb="00FFFFFF"/>
    </font>
    <font>
      <b val="1"/>
      <color rgb="00FFFFFF"/>
      <sz val="15"/>
    </font>
    <font>
      <b val="1"/>
    </font>
    <font>
      <b val="1"/>
      <color rgb="001F4E78"/>
    </font>
  </fonts>
  <fills count="6">
    <fill>
      <patternFill/>
    </fill>
    <fill>
      <patternFill patternType="gray125"/>
    </fill>
    <fill>
      <patternFill patternType="solid">
        <fgColor rgb="001F4E78"/>
      </patternFill>
    </fill>
    <fill>
      <patternFill patternType="solid">
        <fgColor rgb="00EAF3FB"/>
      </patternFill>
    </fill>
    <fill>
      <patternFill patternType="solid">
        <fgColor rgb="00FFF4E8"/>
      </patternFill>
    </fill>
    <fill>
      <patternFill patternType="solid">
        <fgColor rgb="00F28C2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2">
    <xf numFmtId="0" fontId="0" fillId="0" borderId="0"/>
    <xf numFmtId="0" fontId="2" fillId="0" borderId="0"/>
  </cellStyleXfs>
  <cellXfs count="11">
    <xf numFmtId="0" fontId="0" fillId="0" borderId="0" pivotButton="0" quotePrefix="0" xfId="0"/>
    <xf numFmtId="0" fontId="1" fillId="2" borderId="0" pivotButton="0" quotePrefix="0" xfId="0"/>
    <xf numFmtId="0" fontId="2" fillId="0" borderId="0" pivotButton="0" quotePrefix="0" xfId="1"/>
    <xf numFmtId="0" fontId="4" fillId="2" borderId="0" pivotButton="0" quotePrefix="0" xfId="0"/>
    <xf numFmtId="0" fontId="5" fillId="3" borderId="1" pivotButton="0" quotePrefix="0" xfId="0"/>
    <xf numFmtId="0" fontId="0" fillId="4" borderId="1" pivotButton="0" quotePrefix="0" xfId="0"/>
    <xf numFmtId="0" fontId="5" fillId="0" borderId="0" pivotButton="0" quotePrefix="0" xfId="0"/>
    <xf numFmtId="0" fontId="3" fillId="2" borderId="1" applyAlignment="1" pivotButton="0" quotePrefix="0" xfId="0">
      <alignment horizontal="center" vertical="center" wrapText="1"/>
    </xf>
    <xf numFmtId="0" fontId="0" fillId="0" borderId="0" applyAlignment="1" pivotButton="0" quotePrefix="0" xfId="0">
      <alignment horizontal="center" vertical="center"/>
    </xf>
    <xf numFmtId="0" fontId="3" fillId="5" borderId="1" applyAlignment="1" pivotButton="0" quotePrefix="0" xfId="0">
      <alignment horizontal="center" vertical="center" wrapText="1"/>
    </xf>
    <xf numFmtId="0" fontId="6" fillId="0" borderId="0" pivotButton="0" quotePrefix="0" xfId="0"/>
  </cellXfs>
  <cellStyles count="2">
    <cellStyle name="Normal" xfId="0" builtinId="0" hidden="0"/>
    <cellStyle name="Hyperlink" xfId="1" builtinId="8" hidden="0"/>
  </cellStyles>
  <dxfs count="7">
    <dxf>
      <fill>
        <patternFill patternType="solid">
          <fgColor rgb="00FF9999"/>
        </patternFill>
      </fill>
    </dxf>
    <dxf>
      <fill>
        <patternFill patternType="solid">
          <fgColor rgb="00FFC7CE"/>
        </patternFill>
      </fill>
    </dxf>
    <dxf>
      <fill>
        <patternFill patternType="solid">
          <fgColor rgb="00C6EFCE"/>
        </patternFill>
      </fill>
    </dxf>
    <dxf>
      <fill>
        <patternFill patternType="solid">
          <fgColor rgb="00BDD7EE"/>
        </patternFill>
      </fill>
    </dxf>
    <dxf>
      <fill>
        <patternFill patternType="solid">
          <fgColor rgb="00FFE699"/>
        </patternFill>
      </fill>
    </dxf>
    <dxf>
      <fill>
        <patternFill patternType="solid">
          <fgColor rgb="00E4DFEC"/>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omments/comment1.xml><?xml version="1.0" encoding="utf-8"?>
<comments xmlns="http://schemas.openxmlformats.org/spreadsheetml/2006/main">
  <authors>
    <author>OpenAI</author>
  </authors>
  <commentList>
    <comment ref="D2" authorId="0" shapeId="0">
      <text>
        <t>Insira o escudo sobre esta célula.</t>
      </text>
    </comment>
    <comment ref="D3" authorId="0" shapeId="0">
      <text>
        <t>Insira o escudo sobre esta célula.</t>
      </text>
    </comment>
    <comment ref="D4" authorId="0" shapeId="0">
      <text>
        <t>Insira o escudo sobre esta célula.</t>
      </text>
    </comment>
    <comment ref="D5" authorId="0" shapeId="0">
      <text>
        <t>Insira o escudo sobre esta célula.</t>
      </text>
    </comment>
    <comment ref="D6" authorId="0" shapeId="0">
      <text>
        <t>Insira o escudo sobre esta célula.</t>
      </text>
    </comment>
    <comment ref="D7" authorId="0" shapeId="0">
      <text>
        <t>Insira o escudo sobre esta célula.</t>
      </text>
    </comment>
    <comment ref="D8" authorId="0" shapeId="0">
      <text>
        <t>Insira o escudo sobre esta célula.</t>
      </text>
    </comment>
    <comment ref="D9" authorId="0" shapeId="0">
      <text>
        <t>Insira o escudo sobre esta célula.</t>
      </text>
    </comment>
    <comment ref="D10" authorId="0" shapeId="0">
      <text>
        <t>Insira o escudo sobre esta célula.</t>
      </text>
    </comment>
    <comment ref="D11" authorId="0" shapeId="0">
      <text>
        <t>Insira o escudo sobre esta célula.</t>
      </text>
    </comment>
    <comment ref="D12" authorId="0" shapeId="0">
      <text>
        <t>Insira o escudo sobre esta célula.</t>
      </text>
    </comment>
    <comment ref="D13" authorId="0" shapeId="0">
      <text>
        <t>Insira o escudo sobre esta célula.</t>
      </text>
    </comment>
    <comment ref="D14" authorId="0" shapeId="0">
      <text>
        <t>Insira o escudo sobre esta célula.</t>
      </text>
    </comment>
    <comment ref="D15" authorId="0" shapeId="0">
      <text>
        <t>Insira o escudo sobre esta célula.</t>
      </text>
    </comment>
    <comment ref="D16" authorId="0" shapeId="0">
      <text>
        <t>Insira o escudo sobre esta célula.</t>
      </text>
    </comment>
    <comment ref="D17" authorId="0" shapeId="0">
      <text>
        <t>Insira o escudo sobre esta célula.</t>
      </text>
    </comment>
    <comment ref="D18" authorId="0" shapeId="0">
      <text>
        <t>Insira o escudo sobre esta célula.</t>
      </text>
    </comment>
    <comment ref="D19" authorId="0" shapeId="0">
      <text>
        <t>Insira o escudo sobre esta célula.</t>
      </text>
    </comment>
    <comment ref="D20" authorId="0" shapeId="0">
      <text>
        <t>Insira o escudo sobre esta célula.</t>
      </text>
    </comment>
    <comment ref="D21" authorId="0" shapeId="0">
      <text>
        <t>Insira o escudo sobre esta célula.</t>
      </text>
    </comment>
  </commentList>
</comments>
</file>

<file path=xl/comments/comment2.xml><?xml version="1.0" encoding="utf-8"?>
<comments xmlns="http://schemas.openxmlformats.org/spreadsheetml/2006/main">
  <authors>
    <author>OpenAI</author>
  </authors>
  <commentList>
    <comment ref="A2" authorId="0" shapeId="0">
      <text>
        <t>Insira a foto do atleta sobre esta célula.</t>
      </text>
    </comment>
    <comment ref="A3" authorId="0" shapeId="0">
      <text>
        <t>Insira a foto do atleta sobre esta célula.</t>
      </text>
    </comment>
    <comment ref="A4" authorId="0" shapeId="0">
      <text>
        <t>Insira a foto do atleta sobre esta célula.</t>
      </text>
    </comment>
    <comment ref="A5" authorId="0" shapeId="0">
      <text>
        <t>Insira a foto do atleta sobre esta célula.</t>
      </text>
    </comment>
    <comment ref="A6" authorId="0" shapeId="0">
      <text>
        <t>Insira a foto do atleta sobre esta célula.</t>
      </text>
    </comment>
    <comment ref="A7" authorId="0" shapeId="0">
      <text>
        <t>Insira a foto do atleta sobre esta célula.</t>
      </text>
    </comment>
    <comment ref="A8" authorId="0" shapeId="0">
      <text>
        <t>Insira a foto do atleta sobre esta célula.</t>
      </text>
    </comment>
    <comment ref="A9" authorId="0" shapeId="0">
      <text>
        <t>Insira a foto do atleta sobre esta célula.</t>
      </text>
    </comment>
    <comment ref="A10" authorId="0" shapeId="0">
      <text>
        <t>Insira a foto do atleta sobre esta célula.</t>
      </text>
    </comment>
    <comment ref="A11" authorId="0" shapeId="0">
      <text>
        <t>Insira a foto do atleta sobre esta célula.</t>
      </text>
    </comment>
    <comment ref="A12" authorId="0" shapeId="0">
      <text>
        <t>Insira a foto do atleta sobre esta célula.</t>
      </text>
    </comment>
    <comment ref="A13" authorId="0" shapeId="0">
      <text>
        <t>Insira a foto do atleta sobre esta célula.</t>
      </text>
    </comment>
    <comment ref="A14" authorId="0" shapeId="0">
      <text>
        <t>Insira a foto do atleta sobre esta célula.</t>
      </text>
    </comment>
    <comment ref="A15" authorId="0" shapeId="0">
      <text>
        <t>Insira a foto do atleta sobre esta célula.</t>
      </text>
    </comment>
    <comment ref="A16" authorId="0" shapeId="0">
      <text>
        <t>Insira a foto do atleta sobre esta célula.</t>
      </text>
    </comment>
    <comment ref="A17" authorId="0" shapeId="0">
      <text>
        <t>Insira a foto do atleta sobre esta célula.</t>
      </text>
    </comment>
    <comment ref="A18" authorId="0" shapeId="0">
      <text>
        <t>Insira a foto do atleta sobre esta célula.</t>
      </text>
    </comment>
    <comment ref="A19" authorId="0" shapeId="0">
      <text>
        <t>Insira a foto do atleta sobre esta célula.</t>
      </text>
    </comment>
    <comment ref="A20" authorId="0" shapeId="0">
      <text>
        <t>Insira a foto do atleta sobre esta célula.</t>
      </text>
    </comment>
    <comment ref="A21" authorId="0" shapeId="0">
      <text>
        <t>Insira a foto do atleta sobre esta célula.</t>
      </text>
    </comment>
    <comment ref="A22" authorId="0" shapeId="0">
      <text>
        <t>Insira a foto do atleta sobre esta célula.</t>
      </text>
    </comment>
    <comment ref="A23" authorId="0" shapeId="0">
      <text>
        <t>Insira a foto do atleta sobre esta célula.</t>
      </text>
    </comment>
    <comment ref="A24" authorId="0" shapeId="0">
      <text>
        <t>Insira a foto do atleta sobre esta célula.</t>
      </text>
    </comment>
    <comment ref="A25" authorId="0" shapeId="0">
      <text>
        <t>Insira a foto do atleta sobre esta célula.</t>
      </text>
    </comment>
    <comment ref="A26" authorId="0" shapeId="0">
      <text>
        <t>Insira a foto do atleta sobre esta célula.</t>
      </text>
    </comment>
    <comment ref="A27" authorId="0" shapeId="0">
      <text>
        <t>Insira a foto do atleta sobre esta célula.</t>
      </text>
    </comment>
    <comment ref="A28" authorId="0" shapeId="0">
      <text>
        <t>Insira a foto do atleta sobre esta célula.</t>
      </text>
    </comment>
    <comment ref="A29" authorId="0" shapeId="0">
      <text>
        <t>Insira a foto do atleta sobre esta célula.</t>
      </text>
    </comment>
    <comment ref="A30" authorId="0" shapeId="0">
      <text>
        <t>Insira a foto do atleta sobre esta célula.</t>
      </text>
    </comment>
    <comment ref="A31" authorId="0" shapeId="0">
      <text>
        <t>Insira a foto do atleta sobre esta célula.</t>
      </text>
    </comment>
    <comment ref="A32" authorId="0" shapeId="0">
      <text>
        <t>Insira a foto do atleta sobre esta célula.</t>
      </text>
    </comment>
    <comment ref="A33" authorId="0" shapeId="0">
      <text>
        <t>Insira a foto do atleta sobre esta célula.</t>
      </text>
    </comment>
    <comment ref="A34" authorId="0" shapeId="0">
      <text>
        <t>Insira a foto do atleta sobre esta célula.</t>
      </text>
    </comment>
    <comment ref="A35" authorId="0" shapeId="0">
      <text>
        <t>Insira a foto do atleta sobre esta célula.</t>
      </text>
    </comment>
    <comment ref="A36" authorId="0" shapeId="0">
      <text>
        <t>Insira a foto do atleta sobre esta célula.</t>
      </text>
    </comment>
    <comment ref="A37" authorId="0" shapeId="0">
      <text>
        <t>Insira a foto do atleta sobre esta célula.</t>
      </text>
    </comment>
    <comment ref="A38" authorId="0" shapeId="0">
      <text>
        <t>Insira a foto do atleta sobre esta célula.</t>
      </text>
    </comment>
    <comment ref="A39" authorId="0" shapeId="0">
      <text>
        <t>Insira a foto do atleta sobre esta célula.</t>
      </text>
    </comment>
    <comment ref="A40" authorId="0" shapeId="0">
      <text>
        <t>Insira a foto do atleta sobre esta célula.</t>
      </text>
    </comment>
    <comment ref="A41" authorId="0" shapeId="0">
      <text>
        <t>Insira a foto do atleta sobre esta célula.</t>
      </text>
    </comment>
    <comment ref="A42" authorId="0" shapeId="0">
      <text>
        <t>Insira a foto do atleta sobre esta célula.</t>
      </text>
    </comment>
    <comment ref="A43" authorId="0" shapeId="0">
      <text>
        <t>Insira a foto do atleta sobre esta célula.</t>
      </text>
    </comment>
    <comment ref="A44" authorId="0" shapeId="0">
      <text>
        <t>Insira a foto do atleta sobre esta célula.</t>
      </text>
    </comment>
    <comment ref="A45" authorId="0" shapeId="0">
      <text>
        <t>Insira a foto do atleta sobre esta célula.</t>
      </text>
    </comment>
    <comment ref="A46" authorId="0" shapeId="0">
      <text>
        <t>Insira a foto do atleta sobre esta célula.</t>
      </text>
    </comment>
    <comment ref="A47" authorId="0" shapeId="0">
      <text>
        <t>Insira a foto do atleta sobre esta célula.</t>
      </text>
    </comment>
    <comment ref="A48" authorId="0" shapeId="0">
      <text>
        <t>Insira a foto do atleta sobre esta célula.</t>
      </text>
    </comment>
    <comment ref="A49" authorId="0" shapeId="0">
      <text>
        <t>Insira a foto do atleta sobre esta célula.</t>
      </text>
    </comment>
    <comment ref="A50" authorId="0" shapeId="0">
      <text>
        <t>Insira a foto do atleta sobre esta célula.</t>
      </text>
    </comment>
    <comment ref="A51" authorId="0" shapeId="0">
      <text>
        <t>Insira a foto do atleta sobre esta célula.</t>
      </text>
    </comment>
    <comment ref="A52" authorId="0" shapeId="0">
      <text>
        <t>Insira a foto do atleta sobre esta célula.</t>
      </text>
    </comment>
    <comment ref="A53" authorId="0" shapeId="0">
      <text>
        <t>Insira a foto do atleta sobre esta célula.</t>
      </text>
    </comment>
    <comment ref="A54" authorId="0" shapeId="0">
      <text>
        <t>Insira a foto do atleta sobre esta célula.</t>
      </text>
    </comment>
    <comment ref="A55" authorId="0" shapeId="0">
      <text>
        <t>Insira a foto do atleta sobre esta célula.</t>
      </text>
    </comment>
    <comment ref="A56" authorId="0" shapeId="0">
      <text>
        <t>Insira a foto do atleta sobre esta célula.</t>
      </text>
    </comment>
    <comment ref="A57" authorId="0" shapeId="0">
      <text>
        <t>Insira a foto do atleta sobre esta célula.</t>
      </text>
    </comment>
    <comment ref="A58" authorId="0" shapeId="0">
      <text>
        <t>Insira a foto do atleta sobre esta célula.</t>
      </text>
    </comment>
    <comment ref="A59" authorId="0" shapeId="0">
      <text>
        <t>Insira a foto do atleta sobre esta célula.</t>
      </text>
    </comment>
    <comment ref="A60" authorId="0" shapeId="0">
      <text>
        <t>Insira a foto do atleta sobre esta célula.</t>
      </text>
    </comment>
    <comment ref="A61" authorId="0" shapeId="0">
      <text>
        <t>Insira a foto do atleta sobre esta célula.</t>
      </text>
    </comment>
    <comment ref="A62" authorId="0" shapeId="0">
      <text>
        <t>Insira a foto do atleta sobre esta célula.</t>
      </text>
    </comment>
    <comment ref="A63" authorId="0" shapeId="0">
      <text>
        <t>Insira a foto do atleta sobre esta célula.</t>
      </text>
    </comment>
    <comment ref="A64" authorId="0" shapeId="0">
      <text>
        <t>Insira a foto do atleta sobre esta célula.</t>
      </text>
    </comment>
    <comment ref="A65" authorId="0" shapeId="0">
      <text>
        <t>Insira a foto do atleta sobre esta célula.</t>
      </text>
    </comment>
    <comment ref="A66" authorId="0" shapeId="0">
      <text>
        <t>Insira a foto do atleta sobre esta célula.</t>
      </text>
    </comment>
    <comment ref="A67" authorId="0" shapeId="0">
      <text>
        <t>Insira a foto do atleta sobre esta célula.</t>
      </text>
    </comment>
    <comment ref="A68" authorId="0" shapeId="0">
      <text>
        <t>Insira a foto do atleta sobre esta célula.</t>
      </text>
    </comment>
    <comment ref="A69" authorId="0" shapeId="0">
      <text>
        <t>Insira a foto do atleta sobre esta célula.</t>
      </text>
    </comment>
    <comment ref="A70" authorId="0" shapeId="0">
      <text>
        <t>Insira a foto do atleta sobre esta célula.</t>
      </text>
    </comment>
    <comment ref="A71" authorId="0" shapeId="0">
      <text>
        <t>Insira a foto do atleta sobre esta célula.</t>
      </text>
    </comment>
    <comment ref="A72" authorId="0" shapeId="0">
      <text>
        <t>Insira a foto do atleta sobre esta célula.</t>
      </text>
    </comment>
    <comment ref="A73" authorId="0" shapeId="0">
      <text>
        <t>Insira a foto do atleta sobre esta célula.</t>
      </text>
    </comment>
    <comment ref="A74" authorId="0" shapeId="0">
      <text>
        <t>Insira a foto do atleta sobre esta célula.</t>
      </text>
    </comment>
    <comment ref="A75" authorId="0" shapeId="0">
      <text>
        <t>Insira a foto do atleta sobre esta célula.</t>
      </text>
    </comment>
    <comment ref="A76" authorId="0" shapeId="0">
      <text>
        <t>Insira a foto do atleta sobre esta célula.</t>
      </text>
    </comment>
    <comment ref="A77" authorId="0" shapeId="0">
      <text>
        <t>Insira a foto do atleta sobre esta célula.</t>
      </text>
    </comment>
    <comment ref="A78" authorId="0" shapeId="0">
      <text>
        <t>Insira a foto do atleta sobre esta célula.</t>
      </text>
    </comment>
    <comment ref="A79" authorId="0" shapeId="0">
      <text>
        <t>Insira a foto do atleta sobre esta célula.</t>
      </text>
    </comment>
    <comment ref="A80" authorId="0" shapeId="0">
      <text>
        <t>Insira a foto do atleta sobre esta célula.</t>
      </text>
    </comment>
    <comment ref="A81" authorId="0" shapeId="0">
      <text>
        <t>Insira a foto do atleta sobre esta célula.</t>
      </text>
    </comment>
    <comment ref="A82" authorId="0" shapeId="0">
      <text>
        <t>Insira a foto do atleta sobre esta célula.</t>
      </text>
    </comment>
    <comment ref="A83" authorId="0" shapeId="0">
      <text>
        <t>Insira a foto do atleta sobre esta célula.</t>
      </text>
    </comment>
    <comment ref="A84" authorId="0" shapeId="0">
      <text>
        <t>Insira a foto do atleta sobre esta célula.</t>
      </text>
    </comment>
    <comment ref="A85" authorId="0" shapeId="0">
      <text>
        <t>Insira a foto do atleta sobre esta célula.</t>
      </text>
    </comment>
    <comment ref="A86" authorId="0" shapeId="0">
      <text>
        <t>Insira a foto do atleta sobre esta célula.</t>
      </text>
    </comment>
    <comment ref="A87" authorId="0" shapeId="0">
      <text>
        <t>Insira a foto do atleta sobre esta célula.</t>
      </text>
    </comment>
    <comment ref="A88" authorId="0" shapeId="0">
      <text>
        <t>Insira a foto do atleta sobre esta célula.</t>
      </text>
    </comment>
    <comment ref="A89" authorId="0" shapeId="0">
      <text>
        <t>Insira a foto do atleta sobre esta célula.</t>
      </text>
    </comment>
    <comment ref="A90" authorId="0" shapeId="0">
      <text>
        <t>Insira a foto do atleta sobre esta célula.</t>
      </text>
    </comment>
    <comment ref="A91" authorId="0" shapeId="0">
      <text>
        <t>Insira a foto do atleta sobre esta célula.</t>
      </text>
    </comment>
    <comment ref="A92" authorId="0" shapeId="0">
      <text>
        <t>Insira a foto do atleta sobre esta célula.</t>
      </text>
    </comment>
    <comment ref="A93" authorId="0" shapeId="0">
      <text>
        <t>Insira a foto do atleta sobre esta célula.</t>
      </text>
    </comment>
    <comment ref="A94" authorId="0" shapeId="0">
      <text>
        <t>Insira a foto do atleta sobre esta célula.</t>
      </text>
    </comment>
    <comment ref="A95" authorId="0" shapeId="0">
      <text>
        <t>Insira a foto do atleta sobre esta célula.</t>
      </text>
    </comment>
    <comment ref="A96" authorId="0" shapeId="0">
      <text>
        <t>Insira a foto do atleta sobre esta célula.</t>
      </text>
    </comment>
    <comment ref="A97" authorId="0" shapeId="0">
      <text>
        <t>Insira a foto do atleta sobre esta célula.</t>
      </text>
    </comment>
    <comment ref="A98" authorId="0" shapeId="0">
      <text>
        <t>Insira a foto do atleta sobre esta célula.</t>
      </text>
    </comment>
    <comment ref="A99" authorId="0" shapeId="0">
      <text>
        <t>Insira a foto do atleta sobre esta célula.</t>
      </text>
    </comment>
    <comment ref="A100" authorId="0" shapeId="0">
      <text>
        <t>Insira a foto do atleta sobre esta célula.</t>
      </text>
    </comment>
    <comment ref="A101" authorId="0" shapeId="0">
      <text>
        <t>Insira a foto do atleta sobre esta célula.</t>
      </text>
    </comment>
    <comment ref="A102" authorId="0" shapeId="0">
      <text>
        <t>Insira a foto do atleta sobre esta célula.</t>
      </text>
    </comment>
    <comment ref="A103" authorId="0" shapeId="0">
      <text>
        <t>Insira a foto do atleta sobre esta célula.</t>
      </text>
    </comment>
    <comment ref="A104" authorId="0" shapeId="0">
      <text>
        <t>Insira a foto do atleta sobre esta célula.</t>
      </text>
    </comment>
    <comment ref="A105" authorId="0" shapeId="0">
      <text>
        <t>Insira a foto do atleta sobre esta célula.</t>
      </text>
    </comment>
    <comment ref="A106" authorId="0" shapeId="0">
      <text>
        <t>Insira a foto do atleta sobre esta célula.</t>
      </text>
    </comment>
    <comment ref="A107" authorId="0" shapeId="0">
      <text>
        <t>Insira a foto do atleta sobre esta célula.</t>
      </text>
    </comment>
    <comment ref="A108" authorId="0" shapeId="0">
      <text>
        <t>Insira a foto do atleta sobre esta célula.</t>
      </text>
    </comment>
    <comment ref="A109" authorId="0" shapeId="0">
      <text>
        <t>Insira a foto do atleta sobre esta célula.</t>
      </text>
    </comment>
    <comment ref="A110" authorId="0" shapeId="0">
      <text>
        <t>Insira a foto do atleta sobre esta célula.</t>
      </text>
    </comment>
    <comment ref="A111" authorId="0" shapeId="0">
      <text>
        <t>Insira a foto do atleta sobre esta célula.</t>
      </text>
    </comment>
    <comment ref="A112" authorId="0" shapeId="0">
      <text>
        <t>Insira a foto do atleta sobre esta célula.</t>
      </text>
    </comment>
    <comment ref="A113" authorId="0" shapeId="0">
      <text>
        <t>Insira a foto do atleta sobre esta célula.</t>
      </text>
    </comment>
    <comment ref="A114" authorId="0" shapeId="0">
      <text>
        <t>Insira a foto do atleta sobre esta célula.</t>
      </text>
    </comment>
    <comment ref="A115" authorId="0" shapeId="0">
      <text>
        <t>Insira a foto do atleta sobre esta célula.</t>
      </text>
    </comment>
    <comment ref="A116" authorId="0" shapeId="0">
      <text>
        <t>Insira a foto do atleta sobre esta célula.</t>
      </text>
    </comment>
    <comment ref="A117" authorId="0" shapeId="0">
      <text>
        <t>Insira a foto do atleta sobre esta célula.</t>
      </text>
    </comment>
    <comment ref="A118" authorId="0" shapeId="0">
      <text>
        <t>Insira a foto do atleta sobre esta célula.</t>
      </text>
    </comment>
    <comment ref="A119" authorId="0" shapeId="0">
      <text>
        <t>Insira a foto do atleta sobre esta célula.</t>
      </text>
    </comment>
    <comment ref="A120" authorId="0" shapeId="0">
      <text>
        <t>Insira a foto do atleta sobre esta célula.</t>
      </text>
    </comment>
    <comment ref="A121" authorId="0" shapeId="0">
      <text>
        <t>Insira a foto do atleta sobre esta célula.</t>
      </text>
    </comment>
    <comment ref="A122" authorId="0" shapeId="0">
      <text>
        <t>Insira a foto do atleta sobre esta célula.</t>
      </text>
    </comment>
    <comment ref="A123" authorId="0" shapeId="0">
      <text>
        <t>Insira a foto do atleta sobre esta célula.</t>
      </text>
    </comment>
    <comment ref="A124" authorId="0" shapeId="0">
      <text>
        <t>Insira a foto do atleta sobre esta célula.</t>
      </text>
    </comment>
    <comment ref="A125" authorId="0" shapeId="0">
      <text>
        <t>Insira a foto do atleta sobre esta célula.</t>
      </text>
    </comment>
    <comment ref="A126" authorId="0" shapeId="0">
      <text>
        <t>Insira a foto do atleta sobre esta célula.</t>
      </text>
    </comment>
    <comment ref="A127" authorId="0" shapeId="0">
      <text>
        <t>Insira a foto do atleta sobre esta célula.</t>
      </text>
    </comment>
    <comment ref="A128" authorId="0" shapeId="0">
      <text>
        <t>Insira a foto do atleta sobre esta célula.</t>
      </text>
    </comment>
    <comment ref="A129" authorId="0" shapeId="0">
      <text>
        <t>Insira a foto do atleta sobre esta célula.</t>
      </text>
    </comment>
    <comment ref="A130" authorId="0" shapeId="0">
      <text>
        <t>Insira a foto do atleta sobre esta célula.</t>
      </text>
    </comment>
    <comment ref="A131" authorId="0" shapeId="0">
      <text>
        <t>Insira a foto do atleta sobre esta célula.</t>
      </text>
    </comment>
    <comment ref="A132" authorId="0" shapeId="0">
      <text>
        <t>Insira a foto do atleta sobre esta célula.</t>
      </text>
    </comment>
    <comment ref="A133" authorId="0" shapeId="0">
      <text>
        <t>Insira a foto do atleta sobre esta célula.</t>
      </text>
    </comment>
    <comment ref="A134" authorId="0" shapeId="0">
      <text>
        <t>Insira a foto do atleta sobre esta célula.</t>
      </text>
    </comment>
    <comment ref="A135" authorId="0" shapeId="0">
      <text>
        <t>Insira a foto do atleta sobre esta célula.</t>
      </text>
    </comment>
    <comment ref="A136" authorId="0" shapeId="0">
      <text>
        <t>Insira a foto do atleta sobre esta célula.</t>
      </text>
    </comment>
    <comment ref="A137" authorId="0" shapeId="0">
      <text>
        <t>Insira a foto do atleta sobre esta célula.</t>
      </text>
    </comment>
    <comment ref="A138" authorId="0" shapeId="0">
      <text>
        <t>Insira a foto do atleta sobre esta célula.</t>
      </text>
    </comment>
    <comment ref="A139" authorId="0" shapeId="0">
      <text>
        <t>Insira a foto do atleta sobre esta célula.</t>
      </text>
    </comment>
    <comment ref="A140" authorId="0" shapeId="0">
      <text>
        <t>Insira a foto do atleta sobre esta célula.</t>
      </text>
    </comment>
    <comment ref="A141" authorId="0" shapeId="0">
      <text>
        <t>Insira a foto do atleta sobre esta célula.</t>
      </text>
    </comment>
    <comment ref="A142" authorId="0" shapeId="0">
      <text>
        <t>Insira a foto do atleta sobre esta célula.</t>
      </text>
    </comment>
    <comment ref="A143" authorId="0" shapeId="0">
      <text>
        <t>Insira a foto do atleta sobre esta célula.</t>
      </text>
    </comment>
    <comment ref="A144" authorId="0" shapeId="0">
      <text>
        <t>Insira a foto do atleta sobre esta célula.</t>
      </text>
    </comment>
    <comment ref="A145" authorId="0" shapeId="0">
      <text>
        <t>Insira a foto do atleta sobre esta célula.</t>
      </text>
    </comment>
    <comment ref="A146" authorId="0" shapeId="0">
      <text>
        <t>Insira a foto do atleta sobre esta célula.</t>
      </text>
    </comment>
    <comment ref="A147" authorId="0" shapeId="0">
      <text>
        <t>Insira a foto do atleta sobre esta célula.</t>
      </text>
    </comment>
    <comment ref="A148" authorId="0" shapeId="0">
      <text>
        <t>Insira a foto do atleta sobre esta célula.</t>
      </text>
    </comment>
    <comment ref="A149" authorId="0" shapeId="0">
      <text>
        <t>Insira a foto do atleta sobre esta célula.</t>
      </text>
    </comment>
    <comment ref="A150" authorId="0" shapeId="0">
      <text>
        <t>Insira a foto do atleta sobre esta célula.</t>
      </text>
    </comment>
    <comment ref="A151" authorId="0" shapeId="0">
      <text>
        <t>Insira a foto do atleta sobre esta célula.</t>
      </text>
    </comment>
    <comment ref="A152" authorId="0" shapeId="0">
      <text>
        <t>Insira a foto do atleta sobre esta célula.</t>
      </text>
    </comment>
    <comment ref="A153" authorId="0" shapeId="0">
      <text>
        <t>Insira a foto do atleta sobre esta célula.</t>
      </text>
    </comment>
    <comment ref="A154" authorId="0" shapeId="0">
      <text>
        <t>Insira a foto do atleta sobre esta célula.</t>
      </text>
    </comment>
    <comment ref="A155" authorId="0" shapeId="0">
      <text>
        <t>Insira a foto do atleta sobre esta célula.</t>
      </text>
    </comment>
    <comment ref="A156" authorId="0" shapeId="0">
      <text>
        <t>Insira a foto do atleta sobre esta célula.</t>
      </text>
    </comment>
    <comment ref="A157" authorId="0" shapeId="0">
      <text>
        <t>Insira a foto do atleta sobre esta célula.</t>
      </text>
    </comment>
    <comment ref="A158" authorId="0" shapeId="0">
      <text>
        <t>Insira a foto do atleta sobre esta célula.</t>
      </text>
    </comment>
    <comment ref="A159" authorId="0" shapeId="0">
      <text>
        <t>Insira a foto do atleta sobre esta célula.</t>
      </text>
    </comment>
    <comment ref="A160" authorId="0" shapeId="0">
      <text>
        <t>Insira a foto do atleta sobre esta célula.</t>
      </text>
    </comment>
    <comment ref="A161" authorId="0" shapeId="0">
      <text>
        <t>Insira a foto do atleta sobre esta célula.</t>
      </text>
    </comment>
    <comment ref="A162" authorId="0" shapeId="0">
      <text>
        <t>Insira a foto do atleta sobre esta célula.</t>
      </text>
    </comment>
    <comment ref="A163" authorId="0" shapeId="0">
      <text>
        <t>Insira a foto do atleta sobre esta célula.</t>
      </text>
    </comment>
    <comment ref="A164" authorId="0" shapeId="0">
      <text>
        <t>Insira a foto do atleta sobre esta célula.</t>
      </text>
    </comment>
    <comment ref="A165" authorId="0" shapeId="0">
      <text>
        <t>Insira a foto do atleta sobre esta célula.</t>
      </text>
    </comment>
    <comment ref="A166" authorId="0" shapeId="0">
      <text>
        <t>Insira a foto do atleta sobre esta célula.</t>
      </text>
    </comment>
    <comment ref="A167" authorId="0" shapeId="0">
      <text>
        <t>Insira a foto do atleta sobre esta célula.</t>
      </text>
    </comment>
    <comment ref="A168" authorId="0" shapeId="0">
      <text>
        <t>Insira a foto do atleta sobre esta célula.</t>
      </text>
    </comment>
    <comment ref="A169" authorId="0" shapeId="0">
      <text>
        <t>Insira a foto do atleta sobre esta célula.</t>
      </text>
    </comment>
    <comment ref="A170" authorId="0" shapeId="0">
      <text>
        <t>Insira a foto do atleta sobre esta célula.</t>
      </text>
    </comment>
    <comment ref="A171" authorId="0" shapeId="0">
      <text>
        <t>Insira a foto do atleta sobre esta célula.</t>
      </text>
    </comment>
    <comment ref="A172" authorId="0" shapeId="0">
      <text>
        <t>Insira a foto do atleta sobre esta célula.</t>
      </text>
    </comment>
    <comment ref="A173" authorId="0" shapeId="0">
      <text>
        <t>Insira a foto do atleta sobre esta célula.</t>
      </text>
    </comment>
    <comment ref="A174" authorId="0" shapeId="0">
      <text>
        <t>Insira a foto do atleta sobre esta célula.</t>
      </text>
    </comment>
    <comment ref="A175" authorId="0" shapeId="0">
      <text>
        <t>Insira a foto do atleta sobre esta célula.</t>
      </text>
    </comment>
    <comment ref="A176" authorId="0" shapeId="0">
      <text>
        <t>Insira a foto do atleta sobre esta célula.</t>
      </text>
    </comment>
    <comment ref="A177" authorId="0" shapeId="0">
      <text>
        <t>Insira a foto do atleta sobre esta célula.</t>
      </text>
    </comment>
    <comment ref="A178" authorId="0" shapeId="0">
      <text>
        <t>Insira a foto do atleta sobre esta célula.</t>
      </text>
    </comment>
    <comment ref="A179" authorId="0" shapeId="0">
      <text>
        <t>Insira a foto do atleta sobre esta célula.</t>
      </text>
    </comment>
    <comment ref="A180" authorId="0" shapeId="0">
      <text>
        <t>Insira a foto do atleta sobre esta célula.</t>
      </text>
    </comment>
    <comment ref="A181" authorId="0" shapeId="0">
      <text>
        <t>Insira a foto do atleta sobre esta célula.</t>
      </text>
    </comment>
    <comment ref="A182" authorId="0" shapeId="0">
      <text>
        <t>Insira a foto do atleta sobre esta célula.</t>
      </text>
    </comment>
    <comment ref="A183" authorId="0" shapeId="0">
      <text>
        <t>Insira a foto do atleta sobre esta célula.</t>
      </text>
    </comment>
    <comment ref="A184" authorId="0" shapeId="0">
      <text>
        <t>Insira a foto do atleta sobre esta célula.</t>
      </text>
    </comment>
    <comment ref="A185" authorId="0" shapeId="0">
      <text>
        <t>Insira a foto do atleta sobre esta célula.</t>
      </text>
    </comment>
    <comment ref="A186" authorId="0" shapeId="0">
      <text>
        <t>Insira a foto do atleta sobre esta célula.</t>
      </text>
    </comment>
    <comment ref="A187" authorId="0" shapeId="0">
      <text>
        <t>Insira a foto do atleta sobre esta célula.</t>
      </text>
    </comment>
    <comment ref="A188" authorId="0" shapeId="0">
      <text>
        <t>Insira a foto do atleta sobre esta célula.</t>
      </text>
    </comment>
    <comment ref="A189" authorId="0" shapeId="0">
      <text>
        <t>Insira a foto do atleta sobre esta célula.</t>
      </text>
    </comment>
    <comment ref="A190" authorId="0" shapeId="0">
      <text>
        <t>Insira a foto do atleta sobre esta célula.</t>
      </text>
    </comment>
    <comment ref="A191" authorId="0" shapeId="0">
      <text>
        <t>Insira a foto do atleta sobre esta célula.</t>
      </text>
    </comment>
    <comment ref="A192" authorId="0" shapeId="0">
      <text>
        <t>Insira a foto do atleta sobre esta célula.</t>
      </text>
    </comment>
    <comment ref="A193" authorId="0" shapeId="0">
      <text>
        <t>Insira a foto do atleta sobre esta célula.</t>
      </text>
    </comment>
    <comment ref="A194" authorId="0" shapeId="0">
      <text>
        <t>Insira a foto do atleta sobre esta célula.</t>
      </text>
    </comment>
    <comment ref="A195" authorId="0" shapeId="0">
      <text>
        <t>Insira a foto do atleta sobre esta célula.</t>
      </text>
    </comment>
    <comment ref="A196" authorId="0" shapeId="0">
      <text>
        <t>Insira a foto do atleta sobre esta célula.</t>
      </text>
    </comment>
    <comment ref="A197" authorId="0" shapeId="0">
      <text>
        <t>Insira a foto do atleta sobre esta célula.</t>
      </text>
    </comment>
    <comment ref="A198" authorId="0" shapeId="0">
      <text>
        <t>Insira a foto do atleta sobre esta célula.</t>
      </text>
    </comment>
    <comment ref="A199" authorId="0" shapeId="0">
      <text>
        <t>Insira a foto do atleta sobre esta célula.</t>
      </text>
    </comment>
    <comment ref="A200" authorId="0" shapeId="0">
      <text>
        <t>Insira a foto do atleta sobre esta célula.</t>
      </text>
    </comment>
    <comment ref="A201" authorId="0" shapeId="0">
      <text>
        <t>Insira a foto do atleta sobre esta célula.</t>
      </text>
    </comment>
    <comment ref="A202" authorId="0" shapeId="0">
      <text>
        <t>Insira a foto do atleta sobre esta célula.</t>
      </text>
    </comment>
    <comment ref="A203" authorId="0" shapeId="0">
      <text>
        <t>Insira a foto do atleta sobre esta célula.</t>
      </text>
    </comment>
    <comment ref="A204" authorId="0" shapeId="0">
      <text>
        <t>Insira a foto do atleta sobre esta célula.</t>
      </text>
    </comment>
    <comment ref="A205" authorId="0" shapeId="0">
      <text>
        <t>Insira a foto do atleta sobre esta célula.</t>
      </text>
    </comment>
    <comment ref="A206" authorId="0" shapeId="0">
      <text>
        <t>Insira a foto do atleta sobre esta célula.</t>
      </text>
    </comment>
    <comment ref="A207" authorId="0" shapeId="0">
      <text>
        <t>Insira a foto do atleta sobre esta célula.</t>
      </text>
    </comment>
    <comment ref="A208" authorId="0" shapeId="0">
      <text>
        <t>Insira a foto do atleta sobre esta célula.</t>
      </text>
    </comment>
    <comment ref="A209" authorId="0" shapeId="0">
      <text>
        <t>Insira a foto do atleta sobre esta célula.</t>
      </text>
    </comment>
    <comment ref="A210" authorId="0" shapeId="0">
      <text>
        <t>Insira a foto do atleta sobre esta célula.</t>
      </text>
    </comment>
    <comment ref="A211" authorId="0" shapeId="0">
      <text>
        <t>Insira a foto do atleta sobre esta célula.</t>
      </text>
    </comment>
    <comment ref="A212" authorId="0" shapeId="0">
      <text>
        <t>Insira a foto do atleta sobre esta célula.</t>
      </text>
    </comment>
    <comment ref="A213" authorId="0" shapeId="0">
      <text>
        <t>Insira a foto do atleta sobre esta célula.</t>
      </text>
    </comment>
    <comment ref="A214" authorId="0" shapeId="0">
      <text>
        <t>Insira a foto do atleta sobre esta célula.</t>
      </text>
    </comment>
    <comment ref="A215" authorId="0" shapeId="0">
      <text>
        <t>Insira a foto do atleta sobre esta célula.</t>
      </text>
    </comment>
    <comment ref="A216" authorId="0" shapeId="0">
      <text>
        <t>Insira a foto do atleta sobre esta célula.</t>
      </text>
    </comment>
    <comment ref="A217" authorId="0" shapeId="0">
      <text>
        <t>Insira a foto do atleta sobre esta célula.</t>
      </text>
    </comment>
    <comment ref="A218" authorId="0" shapeId="0">
      <text>
        <t>Insira a foto do atleta sobre esta célula.</t>
      </text>
    </comment>
    <comment ref="A219" authorId="0" shapeId="0">
      <text>
        <t>Insira a foto do atleta sobre esta célula.</t>
      </text>
    </comment>
    <comment ref="A220" authorId="0" shapeId="0">
      <text>
        <t>Insira a foto do atleta sobre esta célula.</t>
      </text>
    </comment>
    <comment ref="A221" authorId="0" shapeId="0">
      <text>
        <t>Insira a foto do atleta sobre esta célula.</t>
      </text>
    </comment>
    <comment ref="A222" authorId="0" shapeId="0">
      <text>
        <t>Insira a foto do atleta sobre esta célula.</t>
      </text>
    </comment>
    <comment ref="A223" authorId="0" shapeId="0">
      <text>
        <t>Insira a foto do atleta sobre esta célula.</t>
      </text>
    </comment>
    <comment ref="A224" authorId="0" shapeId="0">
      <text>
        <t>Insira a foto do atleta sobre esta célula.</t>
      </text>
    </comment>
    <comment ref="A225" authorId="0" shapeId="0">
      <text>
        <t>Insira a foto do atleta sobre esta célula.</t>
      </text>
    </comment>
    <comment ref="A226" authorId="0" shapeId="0">
      <text>
        <t>Insira a foto do atleta sobre esta célula.</t>
      </text>
    </comment>
    <comment ref="A227" authorId="0" shapeId="0">
      <text>
        <t>Insira a foto do atleta sobre esta célula.</t>
      </text>
    </comment>
    <comment ref="A228" authorId="0" shapeId="0">
      <text>
        <t>Insira a foto do atleta sobre esta célula.</t>
      </text>
    </comment>
    <comment ref="A229" authorId="0" shapeId="0">
      <text>
        <t>Insira a foto do atleta sobre esta célula.</t>
      </text>
    </comment>
    <comment ref="A230" authorId="0" shapeId="0">
      <text>
        <t>Insira a foto do atleta sobre esta célula.</t>
      </text>
    </comment>
    <comment ref="A231" authorId="0" shapeId="0">
      <text>
        <t>Insira a foto do atleta sobre esta célula.</t>
      </text>
    </comment>
    <comment ref="A232" authorId="0" shapeId="0">
      <text>
        <t>Insira a foto do atleta sobre esta célula.</t>
      </text>
    </comment>
    <comment ref="A233" authorId="0" shapeId="0">
      <text>
        <t>Insira a foto do atleta sobre esta célula.</t>
      </text>
    </comment>
    <comment ref="A234" authorId="0" shapeId="0">
      <text>
        <t>Insira a foto do atleta sobre esta célula.</t>
      </text>
    </comment>
    <comment ref="A235" authorId="0" shapeId="0">
      <text>
        <t>Insira a foto do atleta sobre esta célula.</t>
      </text>
    </comment>
    <comment ref="A236" authorId="0" shapeId="0">
      <text>
        <t>Insira a foto do atleta sobre esta célula.</t>
      </text>
    </comment>
    <comment ref="A237" authorId="0" shapeId="0">
      <text>
        <t>Insira a foto do atleta sobre esta célula.</t>
      </text>
    </comment>
    <comment ref="A238" authorId="0" shapeId="0">
      <text>
        <t>Insira a foto do atleta sobre esta célula.</t>
      </text>
    </comment>
    <comment ref="A239" authorId="0" shapeId="0">
      <text>
        <t>Insira a foto do atleta sobre esta célula.</t>
      </text>
    </comment>
    <comment ref="A240" authorId="0" shapeId="0">
      <text>
        <t>Insira a foto do atleta sobre esta célula.</t>
      </text>
    </comment>
    <comment ref="A241" authorId="0" shapeId="0">
      <text>
        <t>Insira a foto do atleta sobre esta célula.</t>
      </text>
    </comment>
    <comment ref="A242" authorId="0" shapeId="0">
      <text>
        <t>Insira a foto do atleta sobre esta célula.</t>
      </text>
    </comment>
    <comment ref="A243" authorId="0" shapeId="0">
      <text>
        <t>Insira a foto do atleta sobre esta célula.</t>
      </text>
    </comment>
    <comment ref="A244" authorId="0" shapeId="0">
      <text>
        <t>Insira a foto do atleta sobre esta célula.</t>
      </text>
    </comment>
    <comment ref="A245" authorId="0" shapeId="0">
      <text>
        <t>Insira a foto do atleta sobre esta célula.</t>
      </text>
    </comment>
    <comment ref="A246" authorId="0" shapeId="0">
      <text>
        <t>Insira a foto do atleta sobre esta célula.</t>
      </text>
    </comment>
    <comment ref="A247" authorId="0" shapeId="0">
      <text>
        <t>Insira a foto do atleta sobre esta célula.</t>
      </text>
    </comment>
    <comment ref="A248" authorId="0" shapeId="0">
      <text>
        <t>Insira a foto do atleta sobre esta célula.</t>
      </text>
    </comment>
    <comment ref="A249" authorId="0" shapeId="0">
      <text>
        <t>Insira a foto do atleta sobre esta célula.</t>
      </text>
    </comment>
    <comment ref="A250" authorId="0" shapeId="0">
      <text>
        <t>Insira a foto do atleta sobre esta célula.</t>
      </text>
    </comment>
    <comment ref="A251" authorId="0" shapeId="0">
      <text>
        <t>Insira a foto do atleta sobre esta célula.</t>
      </text>
    </comment>
    <comment ref="A252" authorId="0" shapeId="0">
      <text>
        <t>Insira a foto do atleta sobre esta célula.</t>
      </text>
    </comment>
    <comment ref="A253" authorId="0" shapeId="0">
      <text>
        <t>Insira a foto do atleta sobre esta célula.</t>
      </text>
    </comment>
    <comment ref="A254" authorId="0" shapeId="0">
      <text>
        <t>Insira a foto do atleta sobre esta célula.</t>
      </text>
    </comment>
    <comment ref="A255" authorId="0" shapeId="0">
      <text>
        <t>Insira a foto do atleta sobre esta célula.</t>
      </text>
    </comment>
    <comment ref="A256" authorId="0" shapeId="0">
      <text>
        <t>Insira a foto do atleta sobre esta célula.</t>
      </text>
    </comment>
    <comment ref="A257" authorId="0" shapeId="0">
      <text>
        <t>Insira a foto do atleta sobre esta célula.</t>
      </text>
    </comment>
    <comment ref="A258" authorId="0" shapeId="0">
      <text>
        <t>Insira a foto do atleta sobre esta célula.</t>
      </text>
    </comment>
    <comment ref="A259" authorId="0" shapeId="0">
      <text>
        <t>Insira a foto do atleta sobre esta célula.</t>
      </text>
    </comment>
    <comment ref="A260" authorId="0" shapeId="0">
      <text>
        <t>Insira a foto do atleta sobre esta célula.</t>
      </text>
    </comment>
    <comment ref="A261" authorId="0" shapeId="0">
      <text>
        <t>Insira a foto do atleta sobre esta célula.</t>
      </text>
    </comment>
    <comment ref="A262" authorId="0" shapeId="0">
      <text>
        <t>Insira a foto do atleta sobre esta célula.</t>
      </text>
    </comment>
    <comment ref="A263" authorId="0" shapeId="0">
      <text>
        <t>Insira a foto do atleta sobre esta célula.</t>
      </text>
    </comment>
    <comment ref="A264" authorId="0" shapeId="0">
      <text>
        <t>Insira a foto do atleta sobre esta célula.</t>
      </text>
    </comment>
    <comment ref="A265" authorId="0" shapeId="0">
      <text>
        <t>Insira a foto do atleta sobre esta célula.</t>
      </text>
    </comment>
    <comment ref="A266" authorId="0" shapeId="0">
      <text>
        <t>Insira a foto do atleta sobre esta célula.</t>
      </text>
    </comment>
    <comment ref="A267" authorId="0" shapeId="0">
      <text>
        <t>Insira a foto do atleta sobre esta célula.</t>
      </text>
    </comment>
    <comment ref="A268" authorId="0" shapeId="0">
      <text>
        <t>Insira a foto do atleta sobre esta célula.</t>
      </text>
    </comment>
    <comment ref="A269" authorId="0" shapeId="0">
      <text>
        <t>Insira a foto do atleta sobre esta célula.</t>
      </text>
    </comment>
    <comment ref="A270" authorId="0" shapeId="0">
      <text>
        <t>Insira a foto do atleta sobre esta célula.</t>
      </text>
    </comment>
    <comment ref="A271" authorId="0" shapeId="0">
      <text>
        <t>Insira a foto do atleta sobre esta célula.</t>
      </text>
    </comment>
    <comment ref="A272" authorId="0" shapeId="0">
      <text>
        <t>Insira a foto do atleta sobre esta célula.</t>
      </text>
    </comment>
    <comment ref="A273" authorId="0" shapeId="0">
      <text>
        <t>Insira a foto do atleta sobre esta célula.</t>
      </text>
    </comment>
    <comment ref="A274" authorId="0" shapeId="0">
      <text>
        <t>Insira a foto do atleta sobre esta célula.</t>
      </text>
    </comment>
    <comment ref="A275" authorId="0" shapeId="0">
      <text>
        <t>Insira a foto do atleta sobre esta célula.</t>
      </text>
    </comment>
    <comment ref="A276" authorId="0" shapeId="0">
      <text>
        <t>Insira a foto do atleta sobre esta célula.</t>
      </text>
    </comment>
    <comment ref="A277" authorId="0" shapeId="0">
      <text>
        <t>Insira a foto do atleta sobre esta célula.</t>
      </text>
    </comment>
    <comment ref="A278" authorId="0" shapeId="0">
      <text>
        <t>Insira a foto do atleta sobre esta célula.</t>
      </text>
    </comment>
    <comment ref="A279" authorId="0" shapeId="0">
      <text>
        <t>Insira a foto do atleta sobre esta célula.</t>
      </text>
    </comment>
    <comment ref="A280" authorId="0" shapeId="0">
      <text>
        <t>Insira a foto do atleta sobre esta célula.</t>
      </text>
    </comment>
    <comment ref="A281" authorId="0" shapeId="0">
      <text>
        <t>Insira a foto do atleta sobre esta célula.</t>
      </text>
    </comment>
    <comment ref="A282" authorId="0" shapeId="0">
      <text>
        <t>Insira a foto do atleta sobre esta célula.</t>
      </text>
    </comment>
    <comment ref="A283" authorId="0" shapeId="0">
      <text>
        <t>Insira a foto do atleta sobre esta célula.</t>
      </text>
    </comment>
    <comment ref="A284" authorId="0" shapeId="0">
      <text>
        <t>Insira a foto do atleta sobre esta célula.</t>
      </text>
    </comment>
    <comment ref="A285" authorId="0" shapeId="0">
      <text>
        <t>Insira a foto do atleta sobre esta célula.</t>
      </text>
    </comment>
    <comment ref="A286" authorId="0" shapeId="0">
      <text>
        <t>Insira a foto do atleta sobre esta célula.</t>
      </text>
    </comment>
    <comment ref="A287" authorId="0" shapeId="0">
      <text>
        <t>Insira a foto do atleta sobre esta célula.</t>
      </text>
    </comment>
    <comment ref="A288" authorId="0" shapeId="0">
      <text>
        <t>Insira a foto do atleta sobre esta célula.</t>
      </text>
    </comment>
    <comment ref="A289" authorId="0" shapeId="0">
      <text>
        <t>Insira a foto do atleta sobre esta célula.</t>
      </text>
    </comment>
    <comment ref="A290" authorId="0" shapeId="0">
      <text>
        <t>Insira a foto do atleta sobre esta célula.</t>
      </text>
    </comment>
    <comment ref="A291" authorId="0" shapeId="0">
      <text>
        <t>Insira a foto do atleta sobre esta célula.</t>
      </text>
    </comment>
    <comment ref="A292" authorId="0" shapeId="0">
      <text>
        <t>Insira a foto do atleta sobre esta célula.</t>
      </text>
    </comment>
    <comment ref="A293" authorId="0" shapeId="0">
      <text>
        <t>Insira a foto do atleta sobre esta célula.</t>
      </text>
    </comment>
    <comment ref="A294" authorId="0" shapeId="0">
      <text>
        <t>Insira a foto do atleta sobre esta célula.</t>
      </text>
    </comment>
    <comment ref="A295" authorId="0" shapeId="0">
      <text>
        <t>Insira a foto do atleta sobre esta célula.</t>
      </text>
    </comment>
    <comment ref="A296" authorId="0" shapeId="0">
      <text>
        <t>Insira a foto do atleta sobre esta célula.</t>
      </text>
    </comment>
    <comment ref="A297" authorId="0" shapeId="0">
      <text>
        <t>Insira a foto do atleta sobre esta célula.</t>
      </text>
    </comment>
    <comment ref="A298" authorId="0" shapeId="0">
      <text>
        <t>Insira a foto do atleta sobre esta célula.</t>
      </text>
    </comment>
    <comment ref="A299" authorId="0" shapeId="0">
      <text>
        <t>Insira a foto do atleta sobre esta célula.</t>
      </text>
    </comment>
    <comment ref="A300" authorId="0" shapeId="0">
      <text>
        <t>Insira a foto do atleta sobre esta célula.</t>
      </text>
    </comment>
    <comment ref="A301" authorId="0" shapeId="0">
      <text>
        <t>Insira a foto do atleta sobre esta célula.</t>
      </text>
    </comment>
    <comment ref="A302" authorId="0" shapeId="0">
      <text>
        <t>Insira a foto do atleta sobre esta célula.</t>
      </text>
    </comment>
    <comment ref="A303" authorId="0" shapeId="0">
      <text>
        <t>Insira a foto do atleta sobre esta célula.</t>
      </text>
    </comment>
    <comment ref="A304" authorId="0" shapeId="0">
      <text>
        <t>Insira a foto do atleta sobre esta célula.</t>
      </text>
    </comment>
    <comment ref="A305" authorId="0" shapeId="0">
      <text>
        <t>Insira a foto do atleta sobre esta célula.</t>
      </text>
    </comment>
    <comment ref="A306" authorId="0" shapeId="0">
      <text>
        <t>Insira a foto do atleta sobre esta célula.</t>
      </text>
    </comment>
    <comment ref="A307" authorId="0" shapeId="0">
      <text>
        <t>Insira a foto do atleta sobre esta célula.</t>
      </text>
    </comment>
    <comment ref="A308" authorId="0" shapeId="0">
      <text>
        <t>Insira a foto do atleta sobre esta célula.</t>
      </text>
    </comment>
    <comment ref="A309" authorId="0" shapeId="0">
      <text>
        <t>Insira a foto do atleta sobre esta célula.</t>
      </text>
    </comment>
    <comment ref="A310" authorId="0" shapeId="0">
      <text>
        <t>Insira a foto do atleta sobre esta célula.</t>
      </text>
    </comment>
    <comment ref="A311" authorId="0" shapeId="0">
      <text>
        <t>Insira a foto do atleta sobre esta célula.</t>
      </text>
    </comment>
    <comment ref="A312" authorId="0" shapeId="0">
      <text>
        <t>Insira a foto do atleta sobre esta célula.</t>
      </text>
    </comment>
    <comment ref="A313" authorId="0" shapeId="0">
      <text>
        <t>Insira a foto do atleta sobre esta célula.</t>
      </text>
    </comment>
    <comment ref="A314" authorId="0" shapeId="0">
      <text>
        <t>Insira a foto do atleta sobre esta célula.</t>
      </text>
    </comment>
    <comment ref="A315" authorId="0" shapeId="0">
      <text>
        <t>Insira a foto do atleta sobre esta célula.</t>
      </text>
    </comment>
    <comment ref="A316" authorId="0" shapeId="0">
      <text>
        <t>Insira a foto do atleta sobre esta célula.</t>
      </text>
    </comment>
    <comment ref="A317" authorId="0" shapeId="0">
      <text>
        <t>Insira a foto do atleta sobre esta célula.</t>
      </text>
    </comment>
    <comment ref="A318" authorId="0" shapeId="0">
      <text>
        <t>Insira a foto do atleta sobre esta célula.</t>
      </text>
    </comment>
    <comment ref="A319" authorId="0" shapeId="0">
      <text>
        <t>Insira a foto do atleta sobre esta célula.</t>
      </text>
    </comment>
    <comment ref="A320" authorId="0" shapeId="0">
      <text>
        <t>Insira a foto do atleta sobre esta célula.</t>
      </text>
    </comment>
    <comment ref="A321" authorId="0" shapeId="0">
      <text>
        <t>Insira a foto do atleta sobre esta célula.</t>
      </text>
    </comment>
    <comment ref="A322" authorId="0" shapeId="0">
      <text>
        <t>Insira a foto do atleta sobre esta célula.</t>
      </text>
    </comment>
    <comment ref="A323" authorId="0" shapeId="0">
      <text>
        <t>Insira a foto do atleta sobre esta célula.</t>
      </text>
    </comment>
    <comment ref="A324" authorId="0" shapeId="0">
      <text>
        <t>Insira a foto do atleta sobre esta célula.</t>
      </text>
    </comment>
    <comment ref="A325" authorId="0" shapeId="0">
      <text>
        <t>Insira a foto do atleta sobre esta célula.</t>
      </text>
    </comment>
    <comment ref="A326" authorId="0" shapeId="0">
      <text>
        <t>Insira a foto do atleta sobre esta célula.</t>
      </text>
    </comment>
    <comment ref="A327" authorId="0" shapeId="0">
      <text>
        <t>Insira a foto do atleta sobre esta célula.</t>
      </text>
    </comment>
    <comment ref="A328" authorId="0" shapeId="0">
      <text>
        <t>Insira a foto do atleta sobre esta célula.</t>
      </text>
    </comment>
    <comment ref="A329" authorId="0" shapeId="0">
      <text>
        <t>Insira a foto do atleta sobre esta célula.</t>
      </text>
    </comment>
    <comment ref="A330" authorId="0" shapeId="0">
      <text>
        <t>Insira a foto do atleta sobre esta célula.</t>
      </text>
    </comment>
    <comment ref="A331" authorId="0" shapeId="0">
      <text>
        <t>Insira a foto do atleta sobre esta célula.</t>
      </text>
    </comment>
    <comment ref="A332" authorId="0" shapeId="0">
      <text>
        <t>Insira a foto do atleta sobre esta célula.</t>
      </text>
    </comment>
    <comment ref="A333" authorId="0" shapeId="0">
      <text>
        <t>Insira a foto do atleta sobre esta célula.</t>
      </text>
    </comment>
    <comment ref="A334" authorId="0" shapeId="0">
      <text>
        <t>Insira a foto do atleta sobre esta célula.</t>
      </text>
    </comment>
    <comment ref="A335" authorId="0" shapeId="0">
      <text>
        <t>Insira a foto do atleta sobre esta célula.</t>
      </text>
    </comment>
    <comment ref="A336" authorId="0" shapeId="0">
      <text>
        <t>Insira a foto do atleta sobre esta célula.</t>
      </text>
    </comment>
    <comment ref="A337" authorId="0" shapeId="0">
      <text>
        <t>Insira a foto do atleta sobre esta célula.</t>
      </text>
    </comment>
    <comment ref="A338" authorId="0" shapeId="0">
      <text>
        <t>Insira a foto do atleta sobre esta célula.</t>
      </text>
    </comment>
    <comment ref="A339" authorId="0" shapeId="0">
      <text>
        <t>Insira a foto do atleta sobre esta célula.</t>
      </text>
    </comment>
    <comment ref="A340" authorId="0" shapeId="0">
      <text>
        <t>Insira a foto do atleta sobre esta célula.</t>
      </text>
    </comment>
    <comment ref="A341" authorId="0" shapeId="0">
      <text>
        <t>Insira a foto do atleta sobre esta célula.</t>
      </text>
    </comment>
    <comment ref="A342" authorId="0" shapeId="0">
      <text>
        <t>Insira a foto do atleta sobre esta célula.</t>
      </text>
    </comment>
    <comment ref="A343" authorId="0" shapeId="0">
      <text>
        <t>Insira a foto do atleta sobre esta célula.</t>
      </text>
    </comment>
    <comment ref="A344" authorId="0" shapeId="0">
      <text>
        <t>Insira a foto do atleta sobre esta célula.</t>
      </text>
    </comment>
    <comment ref="A345" authorId="0" shapeId="0">
      <text>
        <t>Insira a foto do atleta sobre esta célula.</t>
      </text>
    </comment>
    <comment ref="A346" authorId="0" shapeId="0">
      <text>
        <t>Insira a foto do atleta sobre esta célula.</t>
      </text>
    </comment>
    <comment ref="A347" authorId="0" shapeId="0">
      <text>
        <t>Insira a foto do atleta sobre esta célula.</t>
      </text>
    </comment>
    <comment ref="A348" authorId="0" shapeId="0">
      <text>
        <t>Insira a foto do atleta sobre esta célula.</t>
      </text>
    </comment>
    <comment ref="A349" authorId="0" shapeId="0">
      <text>
        <t>Insira a foto do atleta sobre esta célula.</t>
      </text>
    </comment>
    <comment ref="A350" authorId="0" shapeId="0">
      <text>
        <t>Insira a foto do atleta sobre esta célula.</t>
      </text>
    </comment>
    <comment ref="A351" authorId="0" shapeId="0">
      <text>
        <t>Insira a foto do atleta sobre esta célula.</t>
      </text>
    </comment>
    <comment ref="A352" authorId="0" shapeId="0">
      <text>
        <t>Insira a foto do atleta sobre esta célula.</t>
      </text>
    </comment>
    <comment ref="A353" authorId="0" shapeId="0">
      <text>
        <t>Insira a foto do atleta sobre esta célula.</t>
      </text>
    </comment>
    <comment ref="A354" authorId="0" shapeId="0">
      <text>
        <t>Insira a foto do atleta sobre esta célula.</t>
      </text>
    </comment>
    <comment ref="A355" authorId="0" shapeId="0">
      <text>
        <t>Insira a foto do atleta sobre esta célula.</t>
      </text>
    </comment>
    <comment ref="A356" authorId="0" shapeId="0">
      <text>
        <t>Insira a foto do atleta sobre esta célula.</t>
      </text>
    </comment>
    <comment ref="A357" authorId="0" shapeId="0">
      <text>
        <t>Insira a foto do atleta sobre esta célula.</t>
      </text>
    </comment>
    <comment ref="A358" authorId="0" shapeId="0">
      <text>
        <t>Insira a foto do atleta sobre esta célula.</t>
      </text>
    </comment>
    <comment ref="A359" authorId="0" shapeId="0">
      <text>
        <t>Insira a foto do atleta sobre esta célula.</t>
      </text>
    </comment>
    <comment ref="A360" authorId="0" shapeId="0">
      <text>
        <t>Insira a foto do atleta sobre esta célula.</t>
      </text>
    </comment>
    <comment ref="A361" authorId="0" shapeId="0">
      <text>
        <t>Insira a foto do atleta sobre esta célula.</t>
      </text>
    </comment>
    <comment ref="A362" authorId="0" shapeId="0">
      <text>
        <t>Insira a foto do atleta sobre esta célula.</t>
      </text>
    </comment>
    <comment ref="A363" authorId="0" shapeId="0">
      <text>
        <t>Insira a foto do atleta sobre esta célula.</t>
      </text>
    </comment>
    <comment ref="A364" authorId="0" shapeId="0">
      <text>
        <t>Insira a foto do atleta sobre esta célula.</t>
      </text>
    </comment>
    <comment ref="A365" authorId="0" shapeId="0">
      <text>
        <t>Insira a foto do atleta sobre esta célula.</t>
      </text>
    </comment>
    <comment ref="A366" authorId="0" shapeId="0">
      <text>
        <t>Insira a foto do atleta sobre esta célula.</t>
      </text>
    </comment>
    <comment ref="A367" authorId="0" shapeId="0">
      <text>
        <t>Insira a foto do atleta sobre esta célula.</t>
      </text>
    </comment>
    <comment ref="A368" authorId="0" shapeId="0">
      <text>
        <t>Insira a foto do atleta sobre esta célula.</t>
      </text>
    </comment>
    <comment ref="A369" authorId="0" shapeId="0">
      <text>
        <t>Insira a foto do atleta sobre esta célula.</t>
      </text>
    </comment>
    <comment ref="A370" authorId="0" shapeId="0">
      <text>
        <t>Insira a foto do atleta sobre esta célula.</t>
      </text>
    </comment>
    <comment ref="A371" authorId="0" shapeId="0">
      <text>
        <t>Insira a foto do atleta sobre esta célula.</t>
      </text>
    </comment>
    <comment ref="A372" authorId="0" shapeId="0">
      <text>
        <t>Insira a foto do atleta sobre esta célula.</t>
      </text>
    </comment>
    <comment ref="A373" authorId="0" shapeId="0">
      <text>
        <t>Insira a foto do atleta sobre esta célula.</t>
      </text>
    </comment>
    <comment ref="A374" authorId="0" shapeId="0">
      <text>
        <t>Insira a foto do atleta sobre esta célula.</t>
      </text>
    </comment>
    <comment ref="A375" authorId="0" shapeId="0">
      <text>
        <t>Insira a foto do atleta sobre esta célula.</t>
      </text>
    </comment>
    <comment ref="A376" authorId="0" shapeId="0">
      <text>
        <t>Insira a foto do atleta sobre esta célula.</t>
      </text>
    </comment>
    <comment ref="A377" authorId="0" shapeId="0">
      <text>
        <t>Insira a foto do atleta sobre esta célula.</t>
      </text>
    </comment>
    <comment ref="A378" authorId="0" shapeId="0">
      <text>
        <t>Insira a foto do atleta sobre esta célula.</t>
      </text>
    </comment>
    <comment ref="A379" authorId="0" shapeId="0">
      <text>
        <t>Insira a foto do atleta sobre esta célula.</t>
      </text>
    </comment>
    <comment ref="A380" authorId="0" shapeId="0">
      <text>
        <t>Insira a foto do atleta sobre esta célula.</t>
      </text>
    </comment>
    <comment ref="A381" authorId="0" shapeId="0">
      <text>
        <t>Insira a foto do atleta sobre esta célula.</t>
      </text>
    </comment>
    <comment ref="A382" authorId="0" shapeId="0">
      <text>
        <t>Insira a foto do atleta sobre esta célula.</t>
      </text>
    </comment>
    <comment ref="A383" authorId="0" shapeId="0">
      <text>
        <t>Insira a foto do atleta sobre esta célula.</t>
      </text>
    </comment>
    <comment ref="A384" authorId="0" shapeId="0">
      <text>
        <t>Insira a foto do atleta sobre esta célula.</t>
      </text>
    </comment>
    <comment ref="A385" authorId="0" shapeId="0">
      <text>
        <t>Insira a foto do atleta sobre esta célula.</t>
      </text>
    </comment>
    <comment ref="A386" authorId="0" shapeId="0">
      <text>
        <t>Insira a foto do atleta sobre esta célula.</t>
      </text>
    </comment>
    <comment ref="A387" authorId="0" shapeId="0">
      <text>
        <t>Insira a foto do atleta sobre esta célula.</t>
      </text>
    </comment>
    <comment ref="A388" authorId="0" shapeId="0">
      <text>
        <t>Insira a foto do atleta sobre esta célula.</t>
      </text>
    </comment>
    <comment ref="A389" authorId="0" shapeId="0">
      <text>
        <t>Insira a foto do atleta sobre esta célula.</t>
      </text>
    </comment>
    <comment ref="A390" authorId="0" shapeId="0">
      <text>
        <t>Insira a foto do atleta sobre esta célula.</t>
      </text>
    </comment>
    <comment ref="A391" authorId="0" shapeId="0">
      <text>
        <t>Insira a foto do atleta sobre esta célula.</t>
      </text>
    </comment>
    <comment ref="A392" authorId="0" shapeId="0">
      <text>
        <t>Insira a foto do atleta sobre esta célula.</t>
      </text>
    </comment>
    <comment ref="A393" authorId="0" shapeId="0">
      <text>
        <t>Insira a foto do atleta sobre esta célula.</t>
      </text>
    </comment>
    <comment ref="A394" authorId="0" shapeId="0">
      <text>
        <t>Insira a foto do atleta sobre esta célula.</t>
      </text>
    </comment>
    <comment ref="A395" authorId="0" shapeId="0">
      <text>
        <t>Insira a foto do atleta sobre esta célula.</t>
      </text>
    </comment>
    <comment ref="A396" authorId="0" shapeId="0">
      <text>
        <t>Insira a foto do atleta sobre esta célula.</t>
      </text>
    </comment>
    <comment ref="A397" authorId="0" shapeId="0">
      <text>
        <t>Insira a foto do atleta sobre esta célula.</t>
      </text>
    </comment>
    <comment ref="A398" authorId="0" shapeId="0">
      <text>
        <t>Insira a foto do atleta sobre esta célula.</t>
      </text>
    </comment>
    <comment ref="A399" authorId="0" shapeId="0">
      <text>
        <t>Insira a foto do atleta sobre esta célula.</t>
      </text>
    </comment>
    <comment ref="A400" authorId="0" shapeId="0">
      <text>
        <t>Insira a foto do atleta sobre esta célula.</t>
      </text>
    </comment>
    <comment ref="A401" authorId="0" shapeId="0">
      <text>
        <t>Insira a foto do atleta sobre esta célula.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nfig'!A1" TargetMode="External" Id="rId1"/><Relationship Type="http://schemas.openxmlformats.org/officeDocument/2006/relationships/hyperlink" Target="#'Cadastro_Times'!A1" TargetMode="External" Id="rId2"/><Relationship Type="http://schemas.openxmlformats.org/officeDocument/2006/relationships/hyperlink" Target="#'Cadastro_Atletas'!A1" TargetMode="External" Id="rId3"/><Relationship Type="http://schemas.openxmlformats.org/officeDocument/2006/relationships/hyperlink" Target="#'Jogos_Futsal'!A1" TargetMode="External" Id="rId4"/><Relationship Type="http://schemas.openxmlformats.org/officeDocument/2006/relationships/hyperlink" Target="#'Class_Futsal'!A1" TargetMode="External" Id="rId5"/><Relationship Type="http://schemas.openxmlformats.org/officeDocument/2006/relationships/hyperlink" Target="#'Planejamento_Futsal'!A1" TargetMode="External" Id="rId6"/><Relationship Type="http://schemas.openxmlformats.org/officeDocument/2006/relationships/hyperlink" Target="#'Jogos_Volei'!A1" TargetMode="External" Id="rId7"/><Relationship Type="http://schemas.openxmlformats.org/officeDocument/2006/relationships/hyperlink" Target="#'Class_Volei'!A1" TargetMode="External" Id="rId8"/><Relationship Type="http://schemas.openxmlformats.org/officeDocument/2006/relationships/hyperlink" Target="#'Planejamento_Volei'!A1" TargetMode="External" Id="rId9"/><Relationship Type="http://schemas.openxmlformats.org/officeDocument/2006/relationships/hyperlink" Target="#'Sumula_Futsal'!A1" TargetMode="External" Id="rId10"/><Relationship Type="http://schemas.openxmlformats.org/officeDocument/2006/relationships/hyperlink" Target="#'Sumula_Volei'!A1" TargetMode="External" Id="rId11"/><Relationship Type="http://schemas.openxmlformats.org/officeDocument/2006/relationships/hyperlink" Target="#'Rankings'!A1" TargetMode="External" Id="rId12"/><Relationship Type="http://schemas.openxmlformats.org/officeDocument/2006/relationships/hyperlink" Target="#'Dashboard'!A1" TargetMode="External" Id="rId13"/><Relationship Type="http://schemas.openxmlformats.org/officeDocument/2006/relationships/hyperlink" Target="#'Instrucoes'!A1" TargetMode="External" Id="rId14"/></Relationships>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30" customWidth="1" min="1" max="1"/>
  </cols>
  <sheetData>
    <row r="1">
      <c r="A1" s="1" t="inlineStr">
        <is>
          <t>Campeonato IASD - V10.1 Operacional</t>
        </is>
      </c>
    </row>
    <row r="3">
      <c r="A3" s="2" t="inlineStr">
        <is>
          <t>Configurações</t>
        </is>
      </c>
    </row>
    <row r="4">
      <c r="A4" s="2" t="inlineStr">
        <is>
          <t>Cadastro de Times</t>
        </is>
      </c>
    </row>
    <row r="5">
      <c r="A5" s="2" t="inlineStr">
        <is>
          <t>Cadastro de Atletas</t>
        </is>
      </c>
    </row>
    <row r="6">
      <c r="A6" s="2" t="inlineStr">
        <is>
          <t>Jogos Futsal</t>
        </is>
      </c>
    </row>
    <row r="7">
      <c r="A7" s="2" t="inlineStr">
        <is>
          <t>Classificação Futsal</t>
        </is>
      </c>
    </row>
    <row r="8">
      <c r="A8" s="2" t="inlineStr">
        <is>
          <t>Planejamento Futsal</t>
        </is>
      </c>
    </row>
    <row r="9">
      <c r="A9" s="2" t="inlineStr">
        <is>
          <t>Jogos Vôlei</t>
        </is>
      </c>
    </row>
    <row r="10">
      <c r="A10" s="2" t="inlineStr">
        <is>
          <t>Classificação Vôlei</t>
        </is>
      </c>
    </row>
    <row r="11">
      <c r="A11" s="2" t="inlineStr">
        <is>
          <t>Planejamento Vôlei</t>
        </is>
      </c>
    </row>
    <row r="12">
      <c r="A12" s="2" t="inlineStr">
        <is>
          <t>Súmula Futsal</t>
        </is>
      </c>
    </row>
    <row r="13">
      <c r="A13" s="2" t="inlineStr">
        <is>
          <t>Súmula Vôlei</t>
        </is>
      </c>
    </row>
    <row r="14">
      <c r="A14" s="2" t="inlineStr">
        <is>
          <t>Rankings</t>
        </is>
      </c>
    </row>
    <row r="15">
      <c r="A15" s="2" t="inlineStr">
        <is>
          <t>Dashboard</t>
        </is>
      </c>
    </row>
    <row r="16">
      <c r="A16" s="2" t="inlineStr">
        <is>
          <t>Instruções</t>
        </is>
      </c>
    </row>
  </sheetData>
  <mergeCells count="1">
    <mergeCell ref="A1:D1"/>
  </mergeCells>
  <hyperlinks>
    <hyperlink xmlns:r="http://schemas.openxmlformats.org/officeDocument/2006/relationships" ref="A3" r:id="rId1"/>
    <hyperlink xmlns:r="http://schemas.openxmlformats.org/officeDocument/2006/relationships" ref="A4" r:id="rId2"/>
    <hyperlink xmlns:r="http://schemas.openxmlformats.org/officeDocument/2006/relationships" ref="A5" r:id="rId3"/>
    <hyperlink xmlns:r="http://schemas.openxmlformats.org/officeDocument/2006/relationships" ref="A6" r:id="rId4"/>
    <hyperlink xmlns:r="http://schemas.openxmlformats.org/officeDocument/2006/relationships" ref="A7" r:id="rId5"/>
    <hyperlink xmlns:r="http://schemas.openxmlformats.org/officeDocument/2006/relationships" ref="A8" r:id="rId6"/>
    <hyperlink xmlns:r="http://schemas.openxmlformats.org/officeDocument/2006/relationships" ref="A9" r:id="rId7"/>
    <hyperlink xmlns:r="http://schemas.openxmlformats.org/officeDocument/2006/relationships" ref="A10" r:id="rId8"/>
    <hyperlink xmlns:r="http://schemas.openxmlformats.org/officeDocument/2006/relationships" ref="A11" r:id="rId9"/>
    <hyperlink xmlns:r="http://schemas.openxmlformats.org/officeDocument/2006/relationships" ref="A12" r:id="rId10"/>
    <hyperlink xmlns:r="http://schemas.openxmlformats.org/officeDocument/2006/relationships" ref="A13" r:id="rId11"/>
    <hyperlink xmlns:r="http://schemas.openxmlformats.org/officeDocument/2006/relationships" ref="A14" r:id="rId12"/>
    <hyperlink xmlns:r="http://schemas.openxmlformats.org/officeDocument/2006/relationships" ref="A15" r:id="rId13"/>
    <hyperlink xmlns:r="http://schemas.openxmlformats.org/officeDocument/2006/relationships" ref="A16" r:id="rId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showGridLines="0" workbookViewId="0">
      <pane ySplit="1" topLeftCell="A2" activePane="bottomLeft" state="frozen"/>
      <selection pane="bottomLeft" activeCell="A1" sqref="A1"/>
    </sheetView>
  </sheetViews>
  <sheetFormatPr baseColWidth="8" defaultRowHeight="15"/>
  <cols>
    <col width="48" customWidth="1" min="1" max="1"/>
    <col width="28" customWidth="1" min="2" max="2"/>
    <col width="12" customWidth="1" min="4" max="4"/>
    <col width="44" customWidth="1" min="5" max="5"/>
  </cols>
  <sheetData>
    <row r="1">
      <c r="A1" s="3" t="inlineStr">
        <is>
          <t>Configuração do Campeonato</t>
        </is>
      </c>
    </row>
    <row r="3">
      <c r="A3" s="4" t="inlineStr">
        <is>
          <t>Igreja / Organização</t>
        </is>
      </c>
      <c r="B3" s="5" t="inlineStr">
        <is>
          <t>IASD Central de Salvador</t>
        </is>
      </c>
      <c r="D3" s="6" t="inlineStr">
        <is>
          <t>Obs.</t>
        </is>
      </c>
    </row>
    <row r="4">
      <c r="A4" s="4" t="inlineStr">
        <is>
          <t>Máximo de Times</t>
        </is>
      </c>
      <c r="B4" s="5" t="n">
        <v>20</v>
      </c>
      <c r="D4" t="inlineStr">
        <is>
          <t>Planejamento_* calcula a quantidade prevista de confrontos conforme o formato escolhido.</t>
        </is>
      </c>
    </row>
    <row r="5">
      <c r="A5" s="4" t="inlineStr">
        <is>
          <t>Máximo de Atletas por modalidade</t>
        </is>
      </c>
      <c r="B5" s="5" t="n">
        <v>20</v>
      </c>
    </row>
    <row r="6">
      <c r="A6" s="4" t="inlineStr">
        <is>
          <t>Formato Futsal - Fase de grupos</t>
        </is>
      </c>
      <c r="B6" s="5" t="inlineStr">
        <is>
          <t>Jogo único</t>
        </is>
      </c>
    </row>
    <row r="7">
      <c r="A7" s="4" t="inlineStr">
        <is>
          <t>Empate permitido no Futsal (fase de grupos)</t>
        </is>
      </c>
      <c r="B7" s="5" t="inlineStr">
        <is>
          <t>Sim</t>
        </is>
      </c>
    </row>
    <row r="8">
      <c r="A8" s="4" t="inlineStr">
        <is>
          <t>Pontos pela vitória (Futsal)</t>
        </is>
      </c>
      <c r="B8" s="5" t="n">
        <v>3</v>
      </c>
    </row>
    <row r="9">
      <c r="A9" s="4" t="inlineStr">
        <is>
          <t>Pontos pelo empate (Futsal)</t>
        </is>
      </c>
      <c r="B9" s="5" t="n">
        <v>1</v>
      </c>
    </row>
    <row r="10">
      <c r="A10" s="4" t="inlineStr">
        <is>
          <t>Pontos pela derrota (Futsal)</t>
        </is>
      </c>
      <c r="B10" s="5" t="n">
        <v>0</v>
      </c>
    </row>
    <row r="11">
      <c r="A11" s="4" t="inlineStr">
        <is>
          <t>Pontos por W.O. - equipe presente (Futsal)</t>
        </is>
      </c>
      <c r="B11" s="5" t="n">
        <v>3</v>
      </c>
    </row>
    <row r="12">
      <c r="A12" s="4" t="inlineStr">
        <is>
          <t>Pontos equipe ausente por W.O. (Futsal)</t>
        </is>
      </c>
      <c r="B12" s="5" t="n">
        <v>0</v>
      </c>
    </row>
    <row r="13">
      <c r="A13" s="4" t="inlineStr">
        <is>
          <t>Formato Futsal - Mata-mata</t>
        </is>
      </c>
      <c r="B13" s="5" t="inlineStr">
        <is>
          <t>Jogo único</t>
        </is>
      </c>
    </row>
    <row r="14">
      <c r="A14" s="4" t="inlineStr">
        <is>
          <t>Formato Vôlei - Fase de grupos</t>
        </is>
      </c>
      <c r="B14" s="5" t="inlineStr">
        <is>
          <t>Jogo único</t>
        </is>
      </c>
    </row>
    <row r="15">
      <c r="A15" s="4" t="inlineStr">
        <is>
          <t>Quantidade Máxima de Sets (Vôlei)</t>
        </is>
      </c>
      <c r="B15" s="5" t="n">
        <v>3</v>
      </c>
    </row>
    <row r="16">
      <c r="A16" s="4" t="inlineStr">
        <is>
          <t>Pontos vitória sem perder sets (Vôlei)</t>
        </is>
      </c>
      <c r="B16" s="5" t="n">
        <v>3</v>
      </c>
    </row>
    <row r="17">
      <c r="A17" s="4" t="inlineStr">
        <is>
          <t>Pontos vitória com perda de sets (Vôlei)</t>
        </is>
      </c>
      <c r="B17" s="5" t="n">
        <v>2</v>
      </c>
    </row>
    <row r="18">
      <c r="A18" s="4" t="inlineStr">
        <is>
          <t>Pontos derrota com ganho de sets (Vôlei)</t>
        </is>
      </c>
      <c r="B18" s="5" t="n">
        <v>1</v>
      </c>
    </row>
    <row r="19">
      <c r="A19" s="4" t="inlineStr">
        <is>
          <t>Pontos vitória por W.O. (Vôlei)</t>
        </is>
      </c>
      <c r="B19" s="5" t="n">
        <v>2</v>
      </c>
    </row>
    <row r="20">
      <c r="A20" s="4" t="inlineStr">
        <is>
          <t>Formato Vôlei - Mata-mata</t>
        </is>
      </c>
      <c r="B20" s="5" t="inlineStr">
        <is>
          <t>Jogo único</t>
        </is>
      </c>
    </row>
  </sheetData>
  <mergeCells count="1">
    <mergeCell ref="A1:D1"/>
  </mergeCells>
  <dataValidations count="1">
    <dataValidation sqref="B6 B13 B14 B20" showDropDown="0" showInputMessage="0" showErrorMessage="0" allowBlank="1" type="list">
      <formula1>=Listas!$G$2:$G$3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4" customWidth="1" min="1" max="1"/>
    <col width="20" customWidth="1" min="2" max="2"/>
    <col width="18" customWidth="1" min="3" max="3"/>
    <col width="18" customWidth="1" min="4" max="4"/>
    <col width="10" customWidth="1" min="5" max="5"/>
    <col width="28" customWidth="1" min="6" max="6"/>
    <col width="18" customWidth="1" min="7" max="7"/>
  </cols>
  <sheetData>
    <row r="1">
      <c r="A1" s="7" t="inlineStr">
        <is>
          <t>Grupos</t>
        </is>
      </c>
      <c r="B1" s="7" t="inlineStr">
        <is>
          <t>Níveis</t>
        </is>
      </c>
      <c r="C1" s="7" t="inlineStr">
        <is>
          <t>Posições Futsal</t>
        </is>
      </c>
      <c r="D1" s="7" t="inlineStr">
        <is>
          <t>Posições Vôlei</t>
        </is>
      </c>
      <c r="E1" s="7" t="inlineStr">
        <is>
          <t>Sim/Não</t>
        </is>
      </c>
      <c r="F1" s="7" t="inlineStr">
        <is>
          <t>WO</t>
        </is>
      </c>
      <c r="G1" s="7" t="inlineStr">
        <is>
          <t>Formato</t>
        </is>
      </c>
    </row>
    <row r="2">
      <c r="A2" t="inlineStr">
        <is>
          <t>Grupo A</t>
        </is>
      </c>
      <c r="B2" t="inlineStr">
        <is>
          <t>A - Avançado</t>
        </is>
      </c>
      <c r="C2" t="inlineStr">
        <is>
          <t>Goleiro</t>
        </is>
      </c>
      <c r="D2" t="inlineStr">
        <is>
          <t>Levantador</t>
        </is>
      </c>
      <c r="E2" t="inlineStr">
        <is>
          <t>Sim</t>
        </is>
      </c>
      <c r="F2" t="inlineStr">
        <is>
          <t>Sem WO</t>
        </is>
      </c>
      <c r="G2" t="inlineStr">
        <is>
          <t>Jogo único</t>
        </is>
      </c>
    </row>
    <row r="3">
      <c r="A3" t="inlineStr">
        <is>
          <t>Grupo B</t>
        </is>
      </c>
      <c r="B3" t="inlineStr">
        <is>
          <t>B - Intermediário</t>
        </is>
      </c>
      <c r="C3" t="inlineStr">
        <is>
          <t>Fixo</t>
        </is>
      </c>
      <c r="D3" t="inlineStr">
        <is>
          <t>Oposto</t>
        </is>
      </c>
      <c r="E3" t="inlineStr">
        <is>
          <t>Não</t>
        </is>
      </c>
      <c r="F3" t="inlineStr">
        <is>
          <t>Mandante venceu por WO</t>
        </is>
      </c>
      <c r="G3" t="inlineStr">
        <is>
          <t>Ida e volta</t>
        </is>
      </c>
    </row>
    <row r="4">
      <c r="A4" t="inlineStr">
        <is>
          <t>Grupo C</t>
        </is>
      </c>
      <c r="B4" t="inlineStr">
        <is>
          <t>C - Básico</t>
        </is>
      </c>
      <c r="C4" t="inlineStr">
        <is>
          <t>Ala</t>
        </is>
      </c>
      <c r="D4" t="inlineStr">
        <is>
          <t>Ponteiro</t>
        </is>
      </c>
      <c r="F4" t="inlineStr">
        <is>
          <t>Visitante venceu por WO</t>
        </is>
      </c>
    </row>
    <row r="5">
      <c r="A5" t="inlineStr">
        <is>
          <t>Grupo D</t>
        </is>
      </c>
      <c r="B5" t="inlineStr">
        <is>
          <t>D - Iniciante</t>
        </is>
      </c>
      <c r="C5" t="inlineStr">
        <is>
          <t>Pivô</t>
        </is>
      </c>
      <c r="D5" t="inlineStr">
        <is>
          <t>Central</t>
        </is>
      </c>
    </row>
    <row r="6">
      <c r="A6" t="inlineStr">
        <is>
          <t>Grupo E</t>
        </is>
      </c>
      <c r="C6" t="inlineStr">
        <is>
          <t>Técnico</t>
        </is>
      </c>
      <c r="D6" t="inlineStr">
        <is>
          <t>Líbero</t>
        </is>
      </c>
    </row>
    <row r="7">
      <c r="A7" t="inlineStr">
        <is>
          <t>Grupo F</t>
        </is>
      </c>
      <c r="D7" t="inlineStr">
        <is>
          <t>Técnico</t>
        </is>
      </c>
    </row>
  </sheetData>
  <autoFilter ref="A1:G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0" workbookViewId="0">
      <pane ySplit="1" topLeftCell="A2" activePane="bottomLeft" state="frozen"/>
      <selection pane="bottomLeft" activeCell="A1" sqref="A1"/>
    </sheetView>
  </sheetViews>
  <sheetFormatPr baseColWidth="8" defaultRowHeight="15"/>
  <cols>
    <col width="8" customWidth="1" min="1" max="1"/>
    <col width="24" customWidth="1" min="2" max="2"/>
    <col width="30" customWidth="1" min="3" max="3"/>
    <col width="18" customWidth="1" min="4" max="4"/>
    <col width="14" customWidth="1" min="5" max="5"/>
    <col width="14" customWidth="1" min="6" max="6"/>
    <col width="18" customWidth="1" min="7" max="7"/>
    <col width="16" customWidth="1" min="8" max="8"/>
    <col width="22" customWidth="1" min="9" max="9"/>
  </cols>
  <sheetData>
    <row r="1">
      <c r="A1" s="7" t="inlineStr">
        <is>
          <t>ID</t>
        </is>
      </c>
      <c r="B1" s="7" t="inlineStr">
        <is>
          <t>Nome do Time</t>
        </is>
      </c>
      <c r="C1" s="7" t="inlineStr">
        <is>
          <t>Nome da Igreja</t>
        </is>
      </c>
      <c r="D1" s="7" t="inlineStr">
        <is>
          <t>Escudo do Time</t>
        </is>
      </c>
      <c r="E1" s="7" t="inlineStr">
        <is>
          <t>Grupo Futsal</t>
        </is>
      </c>
      <c r="F1" s="7" t="inlineStr">
        <is>
          <t>Grupo Vôlei</t>
        </is>
      </c>
      <c r="G1" s="7" t="inlineStr">
        <is>
          <t>Responsável</t>
        </is>
      </c>
      <c r="H1" s="7" t="inlineStr">
        <is>
          <t>Contato</t>
        </is>
      </c>
      <c r="I1" s="7" t="inlineStr">
        <is>
          <t>Observações</t>
        </is>
      </c>
    </row>
    <row r="2" ht="46" customHeight="1">
      <c r="A2" t="inlineStr">
        <is>
          <t>T01</t>
        </is>
      </c>
      <c r="D2" s="8" t="inlineStr">
        <is>
          <t>Inserir escudo</t>
        </is>
      </c>
    </row>
    <row r="3" ht="46" customHeight="1">
      <c r="A3" t="inlineStr">
        <is>
          <t>T02</t>
        </is>
      </c>
      <c r="D3" s="8" t="inlineStr">
        <is>
          <t>Inserir escudo</t>
        </is>
      </c>
    </row>
    <row r="4" ht="46" customHeight="1">
      <c r="A4" t="inlineStr">
        <is>
          <t>T03</t>
        </is>
      </c>
      <c r="D4" s="8" t="inlineStr">
        <is>
          <t>Inserir escudo</t>
        </is>
      </c>
    </row>
    <row r="5" ht="46" customHeight="1">
      <c r="A5" t="inlineStr">
        <is>
          <t>T04</t>
        </is>
      </c>
      <c r="D5" s="8" t="inlineStr">
        <is>
          <t>Inserir escudo</t>
        </is>
      </c>
    </row>
    <row r="6" ht="46" customHeight="1">
      <c r="A6" t="inlineStr">
        <is>
          <t>T05</t>
        </is>
      </c>
      <c r="D6" s="8" t="inlineStr">
        <is>
          <t>Inserir escudo</t>
        </is>
      </c>
    </row>
    <row r="7" ht="46" customHeight="1">
      <c r="A7" t="inlineStr">
        <is>
          <t>T06</t>
        </is>
      </c>
      <c r="D7" s="8" t="inlineStr">
        <is>
          <t>Inserir escudo</t>
        </is>
      </c>
    </row>
    <row r="8" ht="46" customHeight="1">
      <c r="A8" t="inlineStr">
        <is>
          <t>T07</t>
        </is>
      </c>
      <c r="D8" s="8" t="inlineStr">
        <is>
          <t>Inserir escudo</t>
        </is>
      </c>
    </row>
    <row r="9" ht="46" customHeight="1">
      <c r="A9" t="inlineStr">
        <is>
          <t>T08</t>
        </is>
      </c>
      <c r="D9" s="8" t="inlineStr">
        <is>
          <t>Inserir escudo</t>
        </is>
      </c>
    </row>
    <row r="10" ht="46" customHeight="1">
      <c r="A10" t="inlineStr">
        <is>
          <t>T09</t>
        </is>
      </c>
      <c r="D10" s="8" t="inlineStr">
        <is>
          <t>Inserir escudo</t>
        </is>
      </c>
    </row>
    <row r="11" ht="46" customHeight="1">
      <c r="A11" t="inlineStr">
        <is>
          <t>T10</t>
        </is>
      </c>
      <c r="D11" s="8" t="inlineStr">
        <is>
          <t>Inserir escudo</t>
        </is>
      </c>
    </row>
    <row r="12" ht="46" customHeight="1">
      <c r="A12" t="inlineStr">
        <is>
          <t>T11</t>
        </is>
      </c>
      <c r="D12" s="8" t="inlineStr">
        <is>
          <t>Inserir escudo</t>
        </is>
      </c>
    </row>
    <row r="13" ht="46" customHeight="1">
      <c r="A13" t="inlineStr">
        <is>
          <t>T12</t>
        </is>
      </c>
      <c r="D13" s="8" t="inlineStr">
        <is>
          <t>Inserir escudo</t>
        </is>
      </c>
    </row>
    <row r="14" ht="46" customHeight="1">
      <c r="A14" t="inlineStr">
        <is>
          <t>T13</t>
        </is>
      </c>
      <c r="D14" s="8" t="inlineStr">
        <is>
          <t>Inserir escudo</t>
        </is>
      </c>
    </row>
    <row r="15" ht="46" customHeight="1">
      <c r="A15" t="inlineStr">
        <is>
          <t>T14</t>
        </is>
      </c>
      <c r="D15" s="8" t="inlineStr">
        <is>
          <t>Inserir escudo</t>
        </is>
      </c>
    </row>
    <row r="16" ht="46" customHeight="1">
      <c r="A16" t="inlineStr">
        <is>
          <t>T15</t>
        </is>
      </c>
      <c r="D16" s="8" t="inlineStr">
        <is>
          <t>Inserir escudo</t>
        </is>
      </c>
    </row>
    <row r="17" ht="46" customHeight="1">
      <c r="A17" t="inlineStr">
        <is>
          <t>T16</t>
        </is>
      </c>
      <c r="D17" s="8" t="inlineStr">
        <is>
          <t>Inserir escudo</t>
        </is>
      </c>
    </row>
    <row r="18" ht="46" customHeight="1">
      <c r="A18" t="inlineStr">
        <is>
          <t>T17</t>
        </is>
      </c>
      <c r="D18" s="8" t="inlineStr">
        <is>
          <t>Inserir escudo</t>
        </is>
      </c>
    </row>
    <row r="19" ht="46" customHeight="1">
      <c r="A19" t="inlineStr">
        <is>
          <t>T18</t>
        </is>
      </c>
      <c r="D19" s="8" t="inlineStr">
        <is>
          <t>Inserir escudo</t>
        </is>
      </c>
    </row>
    <row r="20" ht="46" customHeight="1">
      <c r="A20" t="inlineStr">
        <is>
          <t>T19</t>
        </is>
      </c>
      <c r="D20" s="8" t="inlineStr">
        <is>
          <t>Inserir escudo</t>
        </is>
      </c>
    </row>
    <row r="21" ht="46" customHeight="1">
      <c r="A21" t="inlineStr">
        <is>
          <t>T20</t>
        </is>
      </c>
      <c r="D21" s="8" t="inlineStr">
        <is>
          <t>Inserir escudo</t>
        </is>
      </c>
    </row>
  </sheetData>
  <autoFilter ref="A1:I21"/>
  <dataValidations count="1">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E2 E3 E4 E5 E6 E7 E8 E9 E10 E11 E12 E13 E14 E15 E16 E17 E18 E19 E20 E21 F2 F3 F4 F5 F6 F7 F8 F9 F10 F11 F12 F13 F14 F15 F16 F17 F18 F19 F20 F21" showDropDown="0" showInputMessage="0" showErrorMessage="0" allowBlank="1" type="list">
      <formula1>=Listas!$A$2:$A$20</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L401"/>
  <sheetViews>
    <sheetView showGridLines="0" workbookViewId="0">
      <pane ySplit="1" topLeftCell="A2" activePane="bottomLeft" state="frozen"/>
      <selection pane="bottomLeft" activeCell="A1" sqref="A1"/>
    </sheetView>
  </sheetViews>
  <sheetFormatPr baseColWidth="8" defaultRowHeight="15"/>
  <cols>
    <col width="14" customWidth="1" min="1" max="1"/>
    <col width="10" customWidth="1" min="2" max="2"/>
    <col width="24" customWidth="1" min="3" max="3"/>
    <col width="10" customWidth="1" min="4" max="4"/>
    <col width="22" customWidth="1" min="5" max="5"/>
    <col width="18" customWidth="1" min="6" max="6"/>
    <col width="10" customWidth="1" min="7" max="7"/>
    <col width="14" customWidth="1" min="8" max="8"/>
    <col width="10" customWidth="1" min="9" max="9"/>
    <col width="14" customWidth="1" min="10" max="10"/>
    <col width="16" customWidth="1" min="11" max="11"/>
    <col width="22" customWidth="1" min="12" max="12"/>
  </cols>
  <sheetData>
    <row r="1">
      <c r="A1" s="7" t="inlineStr">
        <is>
          <t>Foto do Jogador</t>
        </is>
      </c>
      <c r="B1" s="7" t="inlineStr">
        <is>
          <t>ID</t>
        </is>
      </c>
      <c r="C1" s="7" t="inlineStr">
        <is>
          <t>Nome</t>
        </is>
      </c>
      <c r="D1" s="7" t="inlineStr">
        <is>
          <t>Número</t>
        </is>
      </c>
      <c r="E1" s="7" t="inlineStr">
        <is>
          <t>Time</t>
        </is>
      </c>
      <c r="F1" s="7" t="inlineStr">
        <is>
          <t>Nível</t>
        </is>
      </c>
      <c r="G1" s="7" t="inlineStr">
        <is>
          <t>Futsal?</t>
        </is>
      </c>
      <c r="H1" s="7" t="inlineStr">
        <is>
          <t>Pos Futsal</t>
        </is>
      </c>
      <c r="I1" s="7" t="inlineStr">
        <is>
          <t>Vôlei?</t>
        </is>
      </c>
      <c r="J1" s="7" t="inlineStr">
        <is>
          <t>Pos Vôlei</t>
        </is>
      </c>
      <c r="K1" s="7" t="inlineStr">
        <is>
          <t>Telefone</t>
        </is>
      </c>
      <c r="L1" s="7" t="inlineStr">
        <is>
          <t>Observações</t>
        </is>
      </c>
    </row>
    <row r="2" ht="44" customHeight="1">
      <c r="A2" s="8" t="inlineStr">
        <is>
          <t>Inserir foto</t>
        </is>
      </c>
      <c r="B2" t="inlineStr">
        <is>
          <t>A0001</t>
        </is>
      </c>
    </row>
    <row r="3" ht="44" customHeight="1">
      <c r="A3" s="8" t="inlineStr">
        <is>
          <t>Inserir foto</t>
        </is>
      </c>
      <c r="B3" t="inlineStr">
        <is>
          <t>A0002</t>
        </is>
      </c>
    </row>
    <row r="4" ht="44" customHeight="1">
      <c r="A4" s="8" t="inlineStr">
        <is>
          <t>Inserir foto</t>
        </is>
      </c>
      <c r="B4" t="inlineStr">
        <is>
          <t>A0003</t>
        </is>
      </c>
    </row>
    <row r="5" ht="44" customHeight="1">
      <c r="A5" s="8" t="inlineStr">
        <is>
          <t>Inserir foto</t>
        </is>
      </c>
      <c r="B5" t="inlineStr">
        <is>
          <t>A0004</t>
        </is>
      </c>
    </row>
    <row r="6" ht="44" customHeight="1">
      <c r="A6" s="8" t="inlineStr">
        <is>
          <t>Inserir foto</t>
        </is>
      </c>
      <c r="B6" t="inlineStr">
        <is>
          <t>A0005</t>
        </is>
      </c>
    </row>
    <row r="7" ht="44" customHeight="1">
      <c r="A7" s="8" t="inlineStr">
        <is>
          <t>Inserir foto</t>
        </is>
      </c>
      <c r="B7" t="inlineStr">
        <is>
          <t>A0006</t>
        </is>
      </c>
    </row>
    <row r="8" ht="44" customHeight="1">
      <c r="A8" s="8" t="inlineStr">
        <is>
          <t>Inserir foto</t>
        </is>
      </c>
      <c r="B8" t="inlineStr">
        <is>
          <t>A0007</t>
        </is>
      </c>
    </row>
    <row r="9" ht="44" customHeight="1">
      <c r="A9" s="8" t="inlineStr">
        <is>
          <t>Inserir foto</t>
        </is>
      </c>
      <c r="B9" t="inlineStr">
        <is>
          <t>A0008</t>
        </is>
      </c>
    </row>
    <row r="10" ht="44" customHeight="1">
      <c r="A10" s="8" t="inlineStr">
        <is>
          <t>Inserir foto</t>
        </is>
      </c>
      <c r="B10" t="inlineStr">
        <is>
          <t>A0009</t>
        </is>
      </c>
    </row>
    <row r="11" ht="44" customHeight="1">
      <c r="A11" s="8" t="inlineStr">
        <is>
          <t>Inserir foto</t>
        </is>
      </c>
      <c r="B11" t="inlineStr">
        <is>
          <t>A0010</t>
        </is>
      </c>
    </row>
    <row r="12" ht="44" customHeight="1">
      <c r="A12" s="8" t="inlineStr">
        <is>
          <t>Inserir foto</t>
        </is>
      </c>
      <c r="B12" t="inlineStr">
        <is>
          <t>A0011</t>
        </is>
      </c>
    </row>
    <row r="13" ht="44" customHeight="1">
      <c r="A13" s="8" t="inlineStr">
        <is>
          <t>Inserir foto</t>
        </is>
      </c>
      <c r="B13" t="inlineStr">
        <is>
          <t>A0012</t>
        </is>
      </c>
    </row>
    <row r="14" ht="44" customHeight="1">
      <c r="A14" s="8" t="inlineStr">
        <is>
          <t>Inserir foto</t>
        </is>
      </c>
      <c r="B14" t="inlineStr">
        <is>
          <t>A0013</t>
        </is>
      </c>
    </row>
    <row r="15" ht="44" customHeight="1">
      <c r="A15" s="8" t="inlineStr">
        <is>
          <t>Inserir foto</t>
        </is>
      </c>
      <c r="B15" t="inlineStr">
        <is>
          <t>A0014</t>
        </is>
      </c>
    </row>
    <row r="16" ht="44" customHeight="1">
      <c r="A16" s="8" t="inlineStr">
        <is>
          <t>Inserir foto</t>
        </is>
      </c>
      <c r="B16" t="inlineStr">
        <is>
          <t>A0015</t>
        </is>
      </c>
    </row>
    <row r="17" ht="44" customHeight="1">
      <c r="A17" s="8" t="inlineStr">
        <is>
          <t>Inserir foto</t>
        </is>
      </c>
      <c r="B17" t="inlineStr">
        <is>
          <t>A0016</t>
        </is>
      </c>
    </row>
    <row r="18" ht="44" customHeight="1">
      <c r="A18" s="8" t="inlineStr">
        <is>
          <t>Inserir foto</t>
        </is>
      </c>
      <c r="B18" t="inlineStr">
        <is>
          <t>A0017</t>
        </is>
      </c>
    </row>
    <row r="19" ht="44" customHeight="1">
      <c r="A19" s="8" t="inlineStr">
        <is>
          <t>Inserir foto</t>
        </is>
      </c>
      <c r="B19" t="inlineStr">
        <is>
          <t>A0018</t>
        </is>
      </c>
    </row>
    <row r="20" ht="44" customHeight="1">
      <c r="A20" s="8" t="inlineStr">
        <is>
          <t>Inserir foto</t>
        </is>
      </c>
      <c r="B20" t="inlineStr">
        <is>
          <t>A0019</t>
        </is>
      </c>
    </row>
    <row r="21" ht="44" customHeight="1">
      <c r="A21" s="8" t="inlineStr">
        <is>
          <t>Inserir foto</t>
        </is>
      </c>
      <c r="B21" t="inlineStr">
        <is>
          <t>A0020</t>
        </is>
      </c>
    </row>
    <row r="22" ht="44" customHeight="1">
      <c r="A22" s="8" t="inlineStr">
        <is>
          <t>Inserir foto</t>
        </is>
      </c>
      <c r="B22" t="inlineStr">
        <is>
          <t>A0021</t>
        </is>
      </c>
    </row>
    <row r="23" ht="44" customHeight="1">
      <c r="A23" s="8" t="inlineStr">
        <is>
          <t>Inserir foto</t>
        </is>
      </c>
      <c r="B23" t="inlineStr">
        <is>
          <t>A0022</t>
        </is>
      </c>
    </row>
    <row r="24" ht="44" customHeight="1">
      <c r="A24" s="8" t="inlineStr">
        <is>
          <t>Inserir foto</t>
        </is>
      </c>
      <c r="B24" t="inlineStr">
        <is>
          <t>A0023</t>
        </is>
      </c>
    </row>
    <row r="25" ht="44" customHeight="1">
      <c r="A25" s="8" t="inlineStr">
        <is>
          <t>Inserir foto</t>
        </is>
      </c>
      <c r="B25" t="inlineStr">
        <is>
          <t>A0024</t>
        </is>
      </c>
    </row>
    <row r="26" ht="44" customHeight="1">
      <c r="A26" s="8" t="inlineStr">
        <is>
          <t>Inserir foto</t>
        </is>
      </c>
      <c r="B26" t="inlineStr">
        <is>
          <t>A0025</t>
        </is>
      </c>
    </row>
    <row r="27" ht="44" customHeight="1">
      <c r="A27" s="8" t="inlineStr">
        <is>
          <t>Inserir foto</t>
        </is>
      </c>
      <c r="B27" t="inlineStr">
        <is>
          <t>A0026</t>
        </is>
      </c>
    </row>
    <row r="28" ht="44" customHeight="1">
      <c r="A28" s="8" t="inlineStr">
        <is>
          <t>Inserir foto</t>
        </is>
      </c>
      <c r="B28" t="inlineStr">
        <is>
          <t>A0027</t>
        </is>
      </c>
    </row>
    <row r="29" ht="44" customHeight="1">
      <c r="A29" s="8" t="inlineStr">
        <is>
          <t>Inserir foto</t>
        </is>
      </c>
      <c r="B29" t="inlineStr">
        <is>
          <t>A0028</t>
        </is>
      </c>
    </row>
    <row r="30" ht="44" customHeight="1">
      <c r="A30" s="8" t="inlineStr">
        <is>
          <t>Inserir foto</t>
        </is>
      </c>
      <c r="B30" t="inlineStr">
        <is>
          <t>A0029</t>
        </is>
      </c>
    </row>
    <row r="31" ht="44" customHeight="1">
      <c r="A31" s="8" t="inlineStr">
        <is>
          <t>Inserir foto</t>
        </is>
      </c>
      <c r="B31" t="inlineStr">
        <is>
          <t>A0030</t>
        </is>
      </c>
    </row>
    <row r="32" ht="44" customHeight="1">
      <c r="A32" s="8" t="inlineStr">
        <is>
          <t>Inserir foto</t>
        </is>
      </c>
      <c r="B32" t="inlineStr">
        <is>
          <t>A0031</t>
        </is>
      </c>
    </row>
    <row r="33" ht="44" customHeight="1">
      <c r="A33" s="8" t="inlineStr">
        <is>
          <t>Inserir foto</t>
        </is>
      </c>
      <c r="B33" t="inlineStr">
        <is>
          <t>A0032</t>
        </is>
      </c>
    </row>
    <row r="34" ht="44" customHeight="1">
      <c r="A34" s="8" t="inlineStr">
        <is>
          <t>Inserir foto</t>
        </is>
      </c>
      <c r="B34" t="inlineStr">
        <is>
          <t>A0033</t>
        </is>
      </c>
    </row>
    <row r="35" ht="44" customHeight="1">
      <c r="A35" s="8" t="inlineStr">
        <is>
          <t>Inserir foto</t>
        </is>
      </c>
      <c r="B35" t="inlineStr">
        <is>
          <t>A0034</t>
        </is>
      </c>
    </row>
    <row r="36" ht="44" customHeight="1">
      <c r="A36" s="8" t="inlineStr">
        <is>
          <t>Inserir foto</t>
        </is>
      </c>
      <c r="B36" t="inlineStr">
        <is>
          <t>A0035</t>
        </is>
      </c>
    </row>
    <row r="37" ht="44" customHeight="1">
      <c r="A37" s="8" t="inlineStr">
        <is>
          <t>Inserir foto</t>
        </is>
      </c>
      <c r="B37" t="inlineStr">
        <is>
          <t>A0036</t>
        </is>
      </c>
    </row>
    <row r="38" ht="44" customHeight="1">
      <c r="A38" s="8" t="inlineStr">
        <is>
          <t>Inserir foto</t>
        </is>
      </c>
      <c r="B38" t="inlineStr">
        <is>
          <t>A0037</t>
        </is>
      </c>
    </row>
    <row r="39" ht="44" customHeight="1">
      <c r="A39" s="8" t="inlineStr">
        <is>
          <t>Inserir foto</t>
        </is>
      </c>
      <c r="B39" t="inlineStr">
        <is>
          <t>A0038</t>
        </is>
      </c>
    </row>
    <row r="40" ht="44" customHeight="1">
      <c r="A40" s="8" t="inlineStr">
        <is>
          <t>Inserir foto</t>
        </is>
      </c>
      <c r="B40" t="inlineStr">
        <is>
          <t>A0039</t>
        </is>
      </c>
    </row>
    <row r="41" ht="44" customHeight="1">
      <c r="A41" s="8" t="inlineStr">
        <is>
          <t>Inserir foto</t>
        </is>
      </c>
      <c r="B41" t="inlineStr">
        <is>
          <t>A0040</t>
        </is>
      </c>
    </row>
    <row r="42" ht="44" customHeight="1">
      <c r="A42" s="8" t="inlineStr">
        <is>
          <t>Inserir foto</t>
        </is>
      </c>
      <c r="B42" t="inlineStr">
        <is>
          <t>A0041</t>
        </is>
      </c>
    </row>
    <row r="43" ht="44" customHeight="1">
      <c r="A43" s="8" t="inlineStr">
        <is>
          <t>Inserir foto</t>
        </is>
      </c>
      <c r="B43" t="inlineStr">
        <is>
          <t>A0042</t>
        </is>
      </c>
    </row>
    <row r="44" ht="44" customHeight="1">
      <c r="A44" s="8" t="inlineStr">
        <is>
          <t>Inserir foto</t>
        </is>
      </c>
      <c r="B44" t="inlineStr">
        <is>
          <t>A0043</t>
        </is>
      </c>
    </row>
    <row r="45" ht="44" customHeight="1">
      <c r="A45" s="8" t="inlineStr">
        <is>
          <t>Inserir foto</t>
        </is>
      </c>
      <c r="B45" t="inlineStr">
        <is>
          <t>A0044</t>
        </is>
      </c>
    </row>
    <row r="46" ht="44" customHeight="1">
      <c r="A46" s="8" t="inlineStr">
        <is>
          <t>Inserir foto</t>
        </is>
      </c>
      <c r="B46" t="inlineStr">
        <is>
          <t>A0045</t>
        </is>
      </c>
    </row>
    <row r="47" ht="44" customHeight="1">
      <c r="A47" s="8" t="inlineStr">
        <is>
          <t>Inserir foto</t>
        </is>
      </c>
      <c r="B47" t="inlineStr">
        <is>
          <t>A0046</t>
        </is>
      </c>
    </row>
    <row r="48" ht="44" customHeight="1">
      <c r="A48" s="8" t="inlineStr">
        <is>
          <t>Inserir foto</t>
        </is>
      </c>
      <c r="B48" t="inlineStr">
        <is>
          <t>A0047</t>
        </is>
      </c>
    </row>
    <row r="49" ht="44" customHeight="1">
      <c r="A49" s="8" t="inlineStr">
        <is>
          <t>Inserir foto</t>
        </is>
      </c>
      <c r="B49" t="inlineStr">
        <is>
          <t>A0048</t>
        </is>
      </c>
    </row>
    <row r="50" ht="44" customHeight="1">
      <c r="A50" s="8" t="inlineStr">
        <is>
          <t>Inserir foto</t>
        </is>
      </c>
      <c r="B50" t="inlineStr">
        <is>
          <t>A0049</t>
        </is>
      </c>
    </row>
    <row r="51" ht="44" customHeight="1">
      <c r="A51" s="8" t="inlineStr">
        <is>
          <t>Inserir foto</t>
        </is>
      </c>
      <c r="B51" t="inlineStr">
        <is>
          <t>A0050</t>
        </is>
      </c>
    </row>
    <row r="52" ht="44" customHeight="1">
      <c r="A52" s="8" t="inlineStr">
        <is>
          <t>Inserir foto</t>
        </is>
      </c>
      <c r="B52" t="inlineStr">
        <is>
          <t>A0051</t>
        </is>
      </c>
    </row>
    <row r="53" ht="44" customHeight="1">
      <c r="A53" s="8" t="inlineStr">
        <is>
          <t>Inserir foto</t>
        </is>
      </c>
      <c r="B53" t="inlineStr">
        <is>
          <t>A0052</t>
        </is>
      </c>
    </row>
    <row r="54" ht="44" customHeight="1">
      <c r="A54" s="8" t="inlineStr">
        <is>
          <t>Inserir foto</t>
        </is>
      </c>
      <c r="B54" t="inlineStr">
        <is>
          <t>A0053</t>
        </is>
      </c>
    </row>
    <row r="55" ht="44" customHeight="1">
      <c r="A55" s="8" t="inlineStr">
        <is>
          <t>Inserir foto</t>
        </is>
      </c>
      <c r="B55" t="inlineStr">
        <is>
          <t>A0054</t>
        </is>
      </c>
    </row>
    <row r="56" ht="44" customHeight="1">
      <c r="A56" s="8" t="inlineStr">
        <is>
          <t>Inserir foto</t>
        </is>
      </c>
      <c r="B56" t="inlineStr">
        <is>
          <t>A0055</t>
        </is>
      </c>
    </row>
    <row r="57" ht="44" customHeight="1">
      <c r="A57" s="8" t="inlineStr">
        <is>
          <t>Inserir foto</t>
        </is>
      </c>
      <c r="B57" t="inlineStr">
        <is>
          <t>A0056</t>
        </is>
      </c>
    </row>
    <row r="58" ht="44" customHeight="1">
      <c r="A58" s="8" t="inlineStr">
        <is>
          <t>Inserir foto</t>
        </is>
      </c>
      <c r="B58" t="inlineStr">
        <is>
          <t>A0057</t>
        </is>
      </c>
    </row>
    <row r="59" ht="44" customHeight="1">
      <c r="A59" s="8" t="inlineStr">
        <is>
          <t>Inserir foto</t>
        </is>
      </c>
      <c r="B59" t="inlineStr">
        <is>
          <t>A0058</t>
        </is>
      </c>
    </row>
    <row r="60" ht="44" customHeight="1">
      <c r="A60" s="8" t="inlineStr">
        <is>
          <t>Inserir foto</t>
        </is>
      </c>
      <c r="B60" t="inlineStr">
        <is>
          <t>A0059</t>
        </is>
      </c>
    </row>
    <row r="61" ht="44" customHeight="1">
      <c r="A61" s="8" t="inlineStr">
        <is>
          <t>Inserir foto</t>
        </is>
      </c>
      <c r="B61" t="inlineStr">
        <is>
          <t>A0060</t>
        </is>
      </c>
    </row>
    <row r="62" ht="44" customHeight="1">
      <c r="A62" s="8" t="inlineStr">
        <is>
          <t>Inserir foto</t>
        </is>
      </c>
      <c r="B62" t="inlineStr">
        <is>
          <t>A0061</t>
        </is>
      </c>
    </row>
    <row r="63" ht="44" customHeight="1">
      <c r="A63" s="8" t="inlineStr">
        <is>
          <t>Inserir foto</t>
        </is>
      </c>
      <c r="B63" t="inlineStr">
        <is>
          <t>A0062</t>
        </is>
      </c>
    </row>
    <row r="64" ht="44" customHeight="1">
      <c r="A64" s="8" t="inlineStr">
        <is>
          <t>Inserir foto</t>
        </is>
      </c>
      <c r="B64" t="inlineStr">
        <is>
          <t>A0063</t>
        </is>
      </c>
    </row>
    <row r="65" ht="44" customHeight="1">
      <c r="A65" s="8" t="inlineStr">
        <is>
          <t>Inserir foto</t>
        </is>
      </c>
      <c r="B65" t="inlineStr">
        <is>
          <t>A0064</t>
        </is>
      </c>
    </row>
    <row r="66" ht="44" customHeight="1">
      <c r="A66" s="8" t="inlineStr">
        <is>
          <t>Inserir foto</t>
        </is>
      </c>
      <c r="B66" t="inlineStr">
        <is>
          <t>A0065</t>
        </is>
      </c>
    </row>
    <row r="67" ht="44" customHeight="1">
      <c r="A67" s="8" t="inlineStr">
        <is>
          <t>Inserir foto</t>
        </is>
      </c>
      <c r="B67" t="inlineStr">
        <is>
          <t>A0066</t>
        </is>
      </c>
    </row>
    <row r="68" ht="44" customHeight="1">
      <c r="A68" s="8" t="inlineStr">
        <is>
          <t>Inserir foto</t>
        </is>
      </c>
      <c r="B68" t="inlineStr">
        <is>
          <t>A0067</t>
        </is>
      </c>
    </row>
    <row r="69" ht="44" customHeight="1">
      <c r="A69" s="8" t="inlineStr">
        <is>
          <t>Inserir foto</t>
        </is>
      </c>
      <c r="B69" t="inlineStr">
        <is>
          <t>A0068</t>
        </is>
      </c>
    </row>
    <row r="70" ht="44" customHeight="1">
      <c r="A70" s="8" t="inlineStr">
        <is>
          <t>Inserir foto</t>
        </is>
      </c>
      <c r="B70" t="inlineStr">
        <is>
          <t>A0069</t>
        </is>
      </c>
    </row>
    <row r="71" ht="44" customHeight="1">
      <c r="A71" s="8" t="inlineStr">
        <is>
          <t>Inserir foto</t>
        </is>
      </c>
      <c r="B71" t="inlineStr">
        <is>
          <t>A0070</t>
        </is>
      </c>
    </row>
    <row r="72" ht="44" customHeight="1">
      <c r="A72" s="8" t="inlineStr">
        <is>
          <t>Inserir foto</t>
        </is>
      </c>
      <c r="B72" t="inlineStr">
        <is>
          <t>A0071</t>
        </is>
      </c>
    </row>
    <row r="73" ht="44" customHeight="1">
      <c r="A73" s="8" t="inlineStr">
        <is>
          <t>Inserir foto</t>
        </is>
      </c>
      <c r="B73" t="inlineStr">
        <is>
          <t>A0072</t>
        </is>
      </c>
    </row>
    <row r="74" ht="44" customHeight="1">
      <c r="A74" s="8" t="inlineStr">
        <is>
          <t>Inserir foto</t>
        </is>
      </c>
      <c r="B74" t="inlineStr">
        <is>
          <t>A0073</t>
        </is>
      </c>
    </row>
    <row r="75" ht="44" customHeight="1">
      <c r="A75" s="8" t="inlineStr">
        <is>
          <t>Inserir foto</t>
        </is>
      </c>
      <c r="B75" t="inlineStr">
        <is>
          <t>A0074</t>
        </is>
      </c>
    </row>
    <row r="76" ht="44" customHeight="1">
      <c r="A76" s="8" t="inlineStr">
        <is>
          <t>Inserir foto</t>
        </is>
      </c>
      <c r="B76" t="inlineStr">
        <is>
          <t>A0075</t>
        </is>
      </c>
    </row>
    <row r="77" ht="44" customHeight="1">
      <c r="A77" s="8" t="inlineStr">
        <is>
          <t>Inserir foto</t>
        </is>
      </c>
      <c r="B77" t="inlineStr">
        <is>
          <t>A0076</t>
        </is>
      </c>
    </row>
    <row r="78" ht="44" customHeight="1">
      <c r="A78" s="8" t="inlineStr">
        <is>
          <t>Inserir foto</t>
        </is>
      </c>
      <c r="B78" t="inlineStr">
        <is>
          <t>A0077</t>
        </is>
      </c>
    </row>
    <row r="79" ht="44" customHeight="1">
      <c r="A79" s="8" t="inlineStr">
        <is>
          <t>Inserir foto</t>
        </is>
      </c>
      <c r="B79" t="inlineStr">
        <is>
          <t>A0078</t>
        </is>
      </c>
    </row>
    <row r="80" ht="44" customHeight="1">
      <c r="A80" s="8" t="inlineStr">
        <is>
          <t>Inserir foto</t>
        </is>
      </c>
      <c r="B80" t="inlineStr">
        <is>
          <t>A0079</t>
        </is>
      </c>
    </row>
    <row r="81" ht="44" customHeight="1">
      <c r="A81" s="8" t="inlineStr">
        <is>
          <t>Inserir foto</t>
        </is>
      </c>
      <c r="B81" t="inlineStr">
        <is>
          <t>A0080</t>
        </is>
      </c>
    </row>
    <row r="82" ht="44" customHeight="1">
      <c r="A82" s="8" t="inlineStr">
        <is>
          <t>Inserir foto</t>
        </is>
      </c>
      <c r="B82" t="inlineStr">
        <is>
          <t>A0081</t>
        </is>
      </c>
    </row>
    <row r="83" ht="44" customHeight="1">
      <c r="A83" s="8" t="inlineStr">
        <is>
          <t>Inserir foto</t>
        </is>
      </c>
      <c r="B83" t="inlineStr">
        <is>
          <t>A0082</t>
        </is>
      </c>
    </row>
    <row r="84" ht="44" customHeight="1">
      <c r="A84" s="8" t="inlineStr">
        <is>
          <t>Inserir foto</t>
        </is>
      </c>
      <c r="B84" t="inlineStr">
        <is>
          <t>A0083</t>
        </is>
      </c>
    </row>
    <row r="85" ht="44" customHeight="1">
      <c r="A85" s="8" t="inlineStr">
        <is>
          <t>Inserir foto</t>
        </is>
      </c>
      <c r="B85" t="inlineStr">
        <is>
          <t>A0084</t>
        </is>
      </c>
    </row>
    <row r="86" ht="44" customHeight="1">
      <c r="A86" s="8" t="inlineStr">
        <is>
          <t>Inserir foto</t>
        </is>
      </c>
      <c r="B86" t="inlineStr">
        <is>
          <t>A0085</t>
        </is>
      </c>
    </row>
    <row r="87" ht="44" customHeight="1">
      <c r="A87" s="8" t="inlineStr">
        <is>
          <t>Inserir foto</t>
        </is>
      </c>
      <c r="B87" t="inlineStr">
        <is>
          <t>A0086</t>
        </is>
      </c>
    </row>
    <row r="88" ht="44" customHeight="1">
      <c r="A88" s="8" t="inlineStr">
        <is>
          <t>Inserir foto</t>
        </is>
      </c>
      <c r="B88" t="inlineStr">
        <is>
          <t>A0087</t>
        </is>
      </c>
    </row>
    <row r="89" ht="44" customHeight="1">
      <c r="A89" s="8" t="inlineStr">
        <is>
          <t>Inserir foto</t>
        </is>
      </c>
      <c r="B89" t="inlineStr">
        <is>
          <t>A0088</t>
        </is>
      </c>
    </row>
    <row r="90" ht="44" customHeight="1">
      <c r="A90" s="8" t="inlineStr">
        <is>
          <t>Inserir foto</t>
        </is>
      </c>
      <c r="B90" t="inlineStr">
        <is>
          <t>A0089</t>
        </is>
      </c>
    </row>
    <row r="91" ht="44" customHeight="1">
      <c r="A91" s="8" t="inlineStr">
        <is>
          <t>Inserir foto</t>
        </is>
      </c>
      <c r="B91" t="inlineStr">
        <is>
          <t>A0090</t>
        </is>
      </c>
    </row>
    <row r="92" ht="44" customHeight="1">
      <c r="A92" s="8" t="inlineStr">
        <is>
          <t>Inserir foto</t>
        </is>
      </c>
      <c r="B92" t="inlineStr">
        <is>
          <t>A0091</t>
        </is>
      </c>
    </row>
    <row r="93" ht="44" customHeight="1">
      <c r="A93" s="8" t="inlineStr">
        <is>
          <t>Inserir foto</t>
        </is>
      </c>
      <c r="B93" t="inlineStr">
        <is>
          <t>A0092</t>
        </is>
      </c>
    </row>
    <row r="94" ht="44" customHeight="1">
      <c r="A94" s="8" t="inlineStr">
        <is>
          <t>Inserir foto</t>
        </is>
      </c>
      <c r="B94" t="inlineStr">
        <is>
          <t>A0093</t>
        </is>
      </c>
    </row>
    <row r="95" ht="44" customHeight="1">
      <c r="A95" s="8" t="inlineStr">
        <is>
          <t>Inserir foto</t>
        </is>
      </c>
      <c r="B95" t="inlineStr">
        <is>
          <t>A0094</t>
        </is>
      </c>
    </row>
    <row r="96" ht="44" customHeight="1">
      <c r="A96" s="8" t="inlineStr">
        <is>
          <t>Inserir foto</t>
        </is>
      </c>
      <c r="B96" t="inlineStr">
        <is>
          <t>A0095</t>
        </is>
      </c>
    </row>
    <row r="97" ht="44" customHeight="1">
      <c r="A97" s="8" t="inlineStr">
        <is>
          <t>Inserir foto</t>
        </is>
      </c>
      <c r="B97" t="inlineStr">
        <is>
          <t>A0096</t>
        </is>
      </c>
    </row>
    <row r="98" ht="44" customHeight="1">
      <c r="A98" s="8" t="inlineStr">
        <is>
          <t>Inserir foto</t>
        </is>
      </c>
      <c r="B98" t="inlineStr">
        <is>
          <t>A0097</t>
        </is>
      </c>
    </row>
    <row r="99" ht="44" customHeight="1">
      <c r="A99" s="8" t="inlineStr">
        <is>
          <t>Inserir foto</t>
        </is>
      </c>
      <c r="B99" t="inlineStr">
        <is>
          <t>A0098</t>
        </is>
      </c>
    </row>
    <row r="100" ht="44" customHeight="1">
      <c r="A100" s="8" t="inlineStr">
        <is>
          <t>Inserir foto</t>
        </is>
      </c>
      <c r="B100" t="inlineStr">
        <is>
          <t>A0099</t>
        </is>
      </c>
    </row>
    <row r="101" ht="44" customHeight="1">
      <c r="A101" s="8" t="inlineStr">
        <is>
          <t>Inserir foto</t>
        </is>
      </c>
      <c r="B101" t="inlineStr">
        <is>
          <t>A0100</t>
        </is>
      </c>
    </row>
    <row r="102" ht="44" customHeight="1">
      <c r="A102" s="8" t="inlineStr">
        <is>
          <t>Inserir foto</t>
        </is>
      </c>
      <c r="B102" t="inlineStr">
        <is>
          <t>A0101</t>
        </is>
      </c>
    </row>
    <row r="103" ht="44" customHeight="1">
      <c r="A103" s="8" t="inlineStr">
        <is>
          <t>Inserir foto</t>
        </is>
      </c>
      <c r="B103" t="inlineStr">
        <is>
          <t>A0102</t>
        </is>
      </c>
    </row>
    <row r="104" ht="44" customHeight="1">
      <c r="A104" s="8" t="inlineStr">
        <is>
          <t>Inserir foto</t>
        </is>
      </c>
      <c r="B104" t="inlineStr">
        <is>
          <t>A0103</t>
        </is>
      </c>
    </row>
    <row r="105" ht="44" customHeight="1">
      <c r="A105" s="8" t="inlineStr">
        <is>
          <t>Inserir foto</t>
        </is>
      </c>
      <c r="B105" t="inlineStr">
        <is>
          <t>A0104</t>
        </is>
      </c>
    </row>
    <row r="106" ht="44" customHeight="1">
      <c r="A106" s="8" t="inlineStr">
        <is>
          <t>Inserir foto</t>
        </is>
      </c>
      <c r="B106" t="inlineStr">
        <is>
          <t>A0105</t>
        </is>
      </c>
    </row>
    <row r="107" ht="44" customHeight="1">
      <c r="A107" s="8" t="inlineStr">
        <is>
          <t>Inserir foto</t>
        </is>
      </c>
      <c r="B107" t="inlineStr">
        <is>
          <t>A0106</t>
        </is>
      </c>
    </row>
    <row r="108" ht="44" customHeight="1">
      <c r="A108" s="8" t="inlineStr">
        <is>
          <t>Inserir foto</t>
        </is>
      </c>
      <c r="B108" t="inlineStr">
        <is>
          <t>A0107</t>
        </is>
      </c>
    </row>
    <row r="109" ht="44" customHeight="1">
      <c r="A109" s="8" t="inlineStr">
        <is>
          <t>Inserir foto</t>
        </is>
      </c>
      <c r="B109" t="inlineStr">
        <is>
          <t>A0108</t>
        </is>
      </c>
    </row>
    <row r="110" ht="44" customHeight="1">
      <c r="A110" s="8" t="inlineStr">
        <is>
          <t>Inserir foto</t>
        </is>
      </c>
      <c r="B110" t="inlineStr">
        <is>
          <t>A0109</t>
        </is>
      </c>
    </row>
    <row r="111" ht="44" customHeight="1">
      <c r="A111" s="8" t="inlineStr">
        <is>
          <t>Inserir foto</t>
        </is>
      </c>
      <c r="B111" t="inlineStr">
        <is>
          <t>A0110</t>
        </is>
      </c>
    </row>
    <row r="112" ht="44" customHeight="1">
      <c r="A112" s="8" t="inlineStr">
        <is>
          <t>Inserir foto</t>
        </is>
      </c>
      <c r="B112" t="inlineStr">
        <is>
          <t>A0111</t>
        </is>
      </c>
    </row>
    <row r="113" ht="44" customHeight="1">
      <c r="A113" s="8" t="inlineStr">
        <is>
          <t>Inserir foto</t>
        </is>
      </c>
      <c r="B113" t="inlineStr">
        <is>
          <t>A0112</t>
        </is>
      </c>
    </row>
    <row r="114" ht="44" customHeight="1">
      <c r="A114" s="8" t="inlineStr">
        <is>
          <t>Inserir foto</t>
        </is>
      </c>
      <c r="B114" t="inlineStr">
        <is>
          <t>A0113</t>
        </is>
      </c>
    </row>
    <row r="115" ht="44" customHeight="1">
      <c r="A115" s="8" t="inlineStr">
        <is>
          <t>Inserir foto</t>
        </is>
      </c>
      <c r="B115" t="inlineStr">
        <is>
          <t>A0114</t>
        </is>
      </c>
    </row>
    <row r="116" ht="44" customHeight="1">
      <c r="A116" s="8" t="inlineStr">
        <is>
          <t>Inserir foto</t>
        </is>
      </c>
      <c r="B116" t="inlineStr">
        <is>
          <t>A0115</t>
        </is>
      </c>
    </row>
    <row r="117" ht="44" customHeight="1">
      <c r="A117" s="8" t="inlineStr">
        <is>
          <t>Inserir foto</t>
        </is>
      </c>
      <c r="B117" t="inlineStr">
        <is>
          <t>A0116</t>
        </is>
      </c>
    </row>
    <row r="118" ht="44" customHeight="1">
      <c r="A118" s="8" t="inlineStr">
        <is>
          <t>Inserir foto</t>
        </is>
      </c>
      <c r="B118" t="inlineStr">
        <is>
          <t>A0117</t>
        </is>
      </c>
    </row>
    <row r="119" ht="44" customHeight="1">
      <c r="A119" s="8" t="inlineStr">
        <is>
          <t>Inserir foto</t>
        </is>
      </c>
      <c r="B119" t="inlineStr">
        <is>
          <t>A0118</t>
        </is>
      </c>
    </row>
    <row r="120" ht="44" customHeight="1">
      <c r="A120" s="8" t="inlineStr">
        <is>
          <t>Inserir foto</t>
        </is>
      </c>
      <c r="B120" t="inlineStr">
        <is>
          <t>A0119</t>
        </is>
      </c>
    </row>
    <row r="121" ht="44" customHeight="1">
      <c r="A121" s="8" t="inlineStr">
        <is>
          <t>Inserir foto</t>
        </is>
      </c>
      <c r="B121" t="inlineStr">
        <is>
          <t>A0120</t>
        </is>
      </c>
    </row>
    <row r="122" ht="44" customHeight="1">
      <c r="A122" s="8" t="inlineStr">
        <is>
          <t>Inserir foto</t>
        </is>
      </c>
      <c r="B122" t="inlineStr">
        <is>
          <t>A0121</t>
        </is>
      </c>
    </row>
    <row r="123" ht="44" customHeight="1">
      <c r="A123" s="8" t="inlineStr">
        <is>
          <t>Inserir foto</t>
        </is>
      </c>
      <c r="B123" t="inlineStr">
        <is>
          <t>A0122</t>
        </is>
      </c>
    </row>
    <row r="124" ht="44" customHeight="1">
      <c r="A124" s="8" t="inlineStr">
        <is>
          <t>Inserir foto</t>
        </is>
      </c>
      <c r="B124" t="inlineStr">
        <is>
          <t>A0123</t>
        </is>
      </c>
    </row>
    <row r="125" ht="44" customHeight="1">
      <c r="A125" s="8" t="inlineStr">
        <is>
          <t>Inserir foto</t>
        </is>
      </c>
      <c r="B125" t="inlineStr">
        <is>
          <t>A0124</t>
        </is>
      </c>
    </row>
    <row r="126" ht="44" customHeight="1">
      <c r="A126" s="8" t="inlineStr">
        <is>
          <t>Inserir foto</t>
        </is>
      </c>
      <c r="B126" t="inlineStr">
        <is>
          <t>A0125</t>
        </is>
      </c>
    </row>
    <row r="127" ht="44" customHeight="1">
      <c r="A127" s="8" t="inlineStr">
        <is>
          <t>Inserir foto</t>
        </is>
      </c>
      <c r="B127" t="inlineStr">
        <is>
          <t>A0126</t>
        </is>
      </c>
    </row>
    <row r="128" ht="44" customHeight="1">
      <c r="A128" s="8" t="inlineStr">
        <is>
          <t>Inserir foto</t>
        </is>
      </c>
      <c r="B128" t="inlineStr">
        <is>
          <t>A0127</t>
        </is>
      </c>
    </row>
    <row r="129" ht="44" customHeight="1">
      <c r="A129" s="8" t="inlineStr">
        <is>
          <t>Inserir foto</t>
        </is>
      </c>
      <c r="B129" t="inlineStr">
        <is>
          <t>A0128</t>
        </is>
      </c>
    </row>
    <row r="130" ht="44" customHeight="1">
      <c r="A130" s="8" t="inlineStr">
        <is>
          <t>Inserir foto</t>
        </is>
      </c>
      <c r="B130" t="inlineStr">
        <is>
          <t>A0129</t>
        </is>
      </c>
    </row>
    <row r="131" ht="44" customHeight="1">
      <c r="A131" s="8" t="inlineStr">
        <is>
          <t>Inserir foto</t>
        </is>
      </c>
      <c r="B131" t="inlineStr">
        <is>
          <t>A0130</t>
        </is>
      </c>
    </row>
    <row r="132" ht="44" customHeight="1">
      <c r="A132" s="8" t="inlineStr">
        <is>
          <t>Inserir foto</t>
        </is>
      </c>
      <c r="B132" t="inlineStr">
        <is>
          <t>A0131</t>
        </is>
      </c>
    </row>
    <row r="133" ht="44" customHeight="1">
      <c r="A133" s="8" t="inlineStr">
        <is>
          <t>Inserir foto</t>
        </is>
      </c>
      <c r="B133" t="inlineStr">
        <is>
          <t>A0132</t>
        </is>
      </c>
    </row>
    <row r="134" ht="44" customHeight="1">
      <c r="A134" s="8" t="inlineStr">
        <is>
          <t>Inserir foto</t>
        </is>
      </c>
      <c r="B134" t="inlineStr">
        <is>
          <t>A0133</t>
        </is>
      </c>
    </row>
    <row r="135" ht="44" customHeight="1">
      <c r="A135" s="8" t="inlineStr">
        <is>
          <t>Inserir foto</t>
        </is>
      </c>
      <c r="B135" t="inlineStr">
        <is>
          <t>A0134</t>
        </is>
      </c>
    </row>
    <row r="136" ht="44" customHeight="1">
      <c r="A136" s="8" t="inlineStr">
        <is>
          <t>Inserir foto</t>
        </is>
      </c>
      <c r="B136" t="inlineStr">
        <is>
          <t>A0135</t>
        </is>
      </c>
    </row>
    <row r="137" ht="44" customHeight="1">
      <c r="A137" s="8" t="inlineStr">
        <is>
          <t>Inserir foto</t>
        </is>
      </c>
      <c r="B137" t="inlineStr">
        <is>
          <t>A0136</t>
        </is>
      </c>
    </row>
    <row r="138" ht="44" customHeight="1">
      <c r="A138" s="8" t="inlineStr">
        <is>
          <t>Inserir foto</t>
        </is>
      </c>
      <c r="B138" t="inlineStr">
        <is>
          <t>A0137</t>
        </is>
      </c>
    </row>
    <row r="139" ht="44" customHeight="1">
      <c r="A139" s="8" t="inlineStr">
        <is>
          <t>Inserir foto</t>
        </is>
      </c>
      <c r="B139" t="inlineStr">
        <is>
          <t>A0138</t>
        </is>
      </c>
    </row>
    <row r="140" ht="44" customHeight="1">
      <c r="A140" s="8" t="inlineStr">
        <is>
          <t>Inserir foto</t>
        </is>
      </c>
      <c r="B140" t="inlineStr">
        <is>
          <t>A0139</t>
        </is>
      </c>
    </row>
    <row r="141" ht="44" customHeight="1">
      <c r="A141" s="8" t="inlineStr">
        <is>
          <t>Inserir foto</t>
        </is>
      </c>
      <c r="B141" t="inlineStr">
        <is>
          <t>A0140</t>
        </is>
      </c>
    </row>
    <row r="142" ht="44" customHeight="1">
      <c r="A142" s="8" t="inlineStr">
        <is>
          <t>Inserir foto</t>
        </is>
      </c>
      <c r="B142" t="inlineStr">
        <is>
          <t>A0141</t>
        </is>
      </c>
    </row>
    <row r="143" ht="44" customHeight="1">
      <c r="A143" s="8" t="inlineStr">
        <is>
          <t>Inserir foto</t>
        </is>
      </c>
      <c r="B143" t="inlineStr">
        <is>
          <t>A0142</t>
        </is>
      </c>
    </row>
    <row r="144" ht="44" customHeight="1">
      <c r="A144" s="8" t="inlineStr">
        <is>
          <t>Inserir foto</t>
        </is>
      </c>
      <c r="B144" t="inlineStr">
        <is>
          <t>A0143</t>
        </is>
      </c>
    </row>
    <row r="145" ht="44" customHeight="1">
      <c r="A145" s="8" t="inlineStr">
        <is>
          <t>Inserir foto</t>
        </is>
      </c>
      <c r="B145" t="inlineStr">
        <is>
          <t>A0144</t>
        </is>
      </c>
    </row>
    <row r="146" ht="44" customHeight="1">
      <c r="A146" s="8" t="inlineStr">
        <is>
          <t>Inserir foto</t>
        </is>
      </c>
      <c r="B146" t="inlineStr">
        <is>
          <t>A0145</t>
        </is>
      </c>
    </row>
    <row r="147" ht="44" customHeight="1">
      <c r="A147" s="8" t="inlineStr">
        <is>
          <t>Inserir foto</t>
        </is>
      </c>
      <c r="B147" t="inlineStr">
        <is>
          <t>A0146</t>
        </is>
      </c>
    </row>
    <row r="148" ht="44" customHeight="1">
      <c r="A148" s="8" t="inlineStr">
        <is>
          <t>Inserir foto</t>
        </is>
      </c>
      <c r="B148" t="inlineStr">
        <is>
          <t>A0147</t>
        </is>
      </c>
    </row>
    <row r="149" ht="44" customHeight="1">
      <c r="A149" s="8" t="inlineStr">
        <is>
          <t>Inserir foto</t>
        </is>
      </c>
      <c r="B149" t="inlineStr">
        <is>
          <t>A0148</t>
        </is>
      </c>
    </row>
    <row r="150" ht="44" customHeight="1">
      <c r="A150" s="8" t="inlineStr">
        <is>
          <t>Inserir foto</t>
        </is>
      </c>
      <c r="B150" t="inlineStr">
        <is>
          <t>A0149</t>
        </is>
      </c>
    </row>
    <row r="151" ht="44" customHeight="1">
      <c r="A151" s="8" t="inlineStr">
        <is>
          <t>Inserir foto</t>
        </is>
      </c>
      <c r="B151" t="inlineStr">
        <is>
          <t>A0150</t>
        </is>
      </c>
    </row>
    <row r="152" ht="44" customHeight="1">
      <c r="A152" s="8" t="inlineStr">
        <is>
          <t>Inserir foto</t>
        </is>
      </c>
      <c r="B152" t="inlineStr">
        <is>
          <t>A0151</t>
        </is>
      </c>
    </row>
    <row r="153" ht="44" customHeight="1">
      <c r="A153" s="8" t="inlineStr">
        <is>
          <t>Inserir foto</t>
        </is>
      </c>
      <c r="B153" t="inlineStr">
        <is>
          <t>A0152</t>
        </is>
      </c>
    </row>
    <row r="154" ht="44" customHeight="1">
      <c r="A154" s="8" t="inlineStr">
        <is>
          <t>Inserir foto</t>
        </is>
      </c>
      <c r="B154" t="inlineStr">
        <is>
          <t>A0153</t>
        </is>
      </c>
    </row>
    <row r="155" ht="44" customHeight="1">
      <c r="A155" s="8" t="inlineStr">
        <is>
          <t>Inserir foto</t>
        </is>
      </c>
      <c r="B155" t="inlineStr">
        <is>
          <t>A0154</t>
        </is>
      </c>
    </row>
    <row r="156" ht="44" customHeight="1">
      <c r="A156" s="8" t="inlineStr">
        <is>
          <t>Inserir foto</t>
        </is>
      </c>
      <c r="B156" t="inlineStr">
        <is>
          <t>A0155</t>
        </is>
      </c>
    </row>
    <row r="157" ht="44" customHeight="1">
      <c r="A157" s="8" t="inlineStr">
        <is>
          <t>Inserir foto</t>
        </is>
      </c>
      <c r="B157" t="inlineStr">
        <is>
          <t>A0156</t>
        </is>
      </c>
    </row>
    <row r="158" ht="44" customHeight="1">
      <c r="A158" s="8" t="inlineStr">
        <is>
          <t>Inserir foto</t>
        </is>
      </c>
      <c r="B158" t="inlineStr">
        <is>
          <t>A0157</t>
        </is>
      </c>
    </row>
    <row r="159" ht="44" customHeight="1">
      <c r="A159" s="8" t="inlineStr">
        <is>
          <t>Inserir foto</t>
        </is>
      </c>
      <c r="B159" t="inlineStr">
        <is>
          <t>A0158</t>
        </is>
      </c>
    </row>
    <row r="160" ht="44" customHeight="1">
      <c r="A160" s="8" t="inlineStr">
        <is>
          <t>Inserir foto</t>
        </is>
      </c>
      <c r="B160" t="inlineStr">
        <is>
          <t>A0159</t>
        </is>
      </c>
    </row>
    <row r="161" ht="44" customHeight="1">
      <c r="A161" s="8" t="inlineStr">
        <is>
          <t>Inserir foto</t>
        </is>
      </c>
      <c r="B161" t="inlineStr">
        <is>
          <t>A0160</t>
        </is>
      </c>
    </row>
    <row r="162" ht="44" customHeight="1">
      <c r="A162" s="8" t="inlineStr">
        <is>
          <t>Inserir foto</t>
        </is>
      </c>
      <c r="B162" t="inlineStr">
        <is>
          <t>A0161</t>
        </is>
      </c>
    </row>
    <row r="163" ht="44" customHeight="1">
      <c r="A163" s="8" t="inlineStr">
        <is>
          <t>Inserir foto</t>
        </is>
      </c>
      <c r="B163" t="inlineStr">
        <is>
          <t>A0162</t>
        </is>
      </c>
    </row>
    <row r="164" ht="44" customHeight="1">
      <c r="A164" s="8" t="inlineStr">
        <is>
          <t>Inserir foto</t>
        </is>
      </c>
      <c r="B164" t="inlineStr">
        <is>
          <t>A0163</t>
        </is>
      </c>
    </row>
    <row r="165" ht="44" customHeight="1">
      <c r="A165" s="8" t="inlineStr">
        <is>
          <t>Inserir foto</t>
        </is>
      </c>
      <c r="B165" t="inlineStr">
        <is>
          <t>A0164</t>
        </is>
      </c>
    </row>
    <row r="166" ht="44" customHeight="1">
      <c r="A166" s="8" t="inlineStr">
        <is>
          <t>Inserir foto</t>
        </is>
      </c>
      <c r="B166" t="inlineStr">
        <is>
          <t>A0165</t>
        </is>
      </c>
    </row>
    <row r="167" ht="44" customHeight="1">
      <c r="A167" s="8" t="inlineStr">
        <is>
          <t>Inserir foto</t>
        </is>
      </c>
      <c r="B167" t="inlineStr">
        <is>
          <t>A0166</t>
        </is>
      </c>
    </row>
    <row r="168" ht="44" customHeight="1">
      <c r="A168" s="8" t="inlineStr">
        <is>
          <t>Inserir foto</t>
        </is>
      </c>
      <c r="B168" t="inlineStr">
        <is>
          <t>A0167</t>
        </is>
      </c>
    </row>
    <row r="169" ht="44" customHeight="1">
      <c r="A169" s="8" t="inlineStr">
        <is>
          <t>Inserir foto</t>
        </is>
      </c>
      <c r="B169" t="inlineStr">
        <is>
          <t>A0168</t>
        </is>
      </c>
    </row>
    <row r="170" ht="44" customHeight="1">
      <c r="A170" s="8" t="inlineStr">
        <is>
          <t>Inserir foto</t>
        </is>
      </c>
      <c r="B170" t="inlineStr">
        <is>
          <t>A0169</t>
        </is>
      </c>
    </row>
    <row r="171" ht="44" customHeight="1">
      <c r="A171" s="8" t="inlineStr">
        <is>
          <t>Inserir foto</t>
        </is>
      </c>
      <c r="B171" t="inlineStr">
        <is>
          <t>A0170</t>
        </is>
      </c>
    </row>
    <row r="172" ht="44" customHeight="1">
      <c r="A172" s="8" t="inlineStr">
        <is>
          <t>Inserir foto</t>
        </is>
      </c>
      <c r="B172" t="inlineStr">
        <is>
          <t>A0171</t>
        </is>
      </c>
    </row>
    <row r="173" ht="44" customHeight="1">
      <c r="A173" s="8" t="inlineStr">
        <is>
          <t>Inserir foto</t>
        </is>
      </c>
      <c r="B173" t="inlineStr">
        <is>
          <t>A0172</t>
        </is>
      </c>
    </row>
    <row r="174" ht="44" customHeight="1">
      <c r="A174" s="8" t="inlineStr">
        <is>
          <t>Inserir foto</t>
        </is>
      </c>
      <c r="B174" t="inlineStr">
        <is>
          <t>A0173</t>
        </is>
      </c>
    </row>
    <row r="175" ht="44" customHeight="1">
      <c r="A175" s="8" t="inlineStr">
        <is>
          <t>Inserir foto</t>
        </is>
      </c>
      <c r="B175" t="inlineStr">
        <is>
          <t>A0174</t>
        </is>
      </c>
    </row>
    <row r="176" ht="44" customHeight="1">
      <c r="A176" s="8" t="inlineStr">
        <is>
          <t>Inserir foto</t>
        </is>
      </c>
      <c r="B176" t="inlineStr">
        <is>
          <t>A0175</t>
        </is>
      </c>
    </row>
    <row r="177" ht="44" customHeight="1">
      <c r="A177" s="8" t="inlineStr">
        <is>
          <t>Inserir foto</t>
        </is>
      </c>
      <c r="B177" t="inlineStr">
        <is>
          <t>A0176</t>
        </is>
      </c>
    </row>
    <row r="178" ht="44" customHeight="1">
      <c r="A178" s="8" t="inlineStr">
        <is>
          <t>Inserir foto</t>
        </is>
      </c>
      <c r="B178" t="inlineStr">
        <is>
          <t>A0177</t>
        </is>
      </c>
    </row>
    <row r="179" ht="44" customHeight="1">
      <c r="A179" s="8" t="inlineStr">
        <is>
          <t>Inserir foto</t>
        </is>
      </c>
      <c r="B179" t="inlineStr">
        <is>
          <t>A0178</t>
        </is>
      </c>
    </row>
    <row r="180" ht="44" customHeight="1">
      <c r="A180" s="8" t="inlineStr">
        <is>
          <t>Inserir foto</t>
        </is>
      </c>
      <c r="B180" t="inlineStr">
        <is>
          <t>A0179</t>
        </is>
      </c>
    </row>
    <row r="181" ht="44" customHeight="1">
      <c r="A181" s="8" t="inlineStr">
        <is>
          <t>Inserir foto</t>
        </is>
      </c>
      <c r="B181" t="inlineStr">
        <is>
          <t>A0180</t>
        </is>
      </c>
    </row>
    <row r="182" ht="44" customHeight="1">
      <c r="A182" s="8" t="inlineStr">
        <is>
          <t>Inserir foto</t>
        </is>
      </c>
      <c r="B182" t="inlineStr">
        <is>
          <t>A0181</t>
        </is>
      </c>
    </row>
    <row r="183" ht="44" customHeight="1">
      <c r="A183" s="8" t="inlineStr">
        <is>
          <t>Inserir foto</t>
        </is>
      </c>
      <c r="B183" t="inlineStr">
        <is>
          <t>A0182</t>
        </is>
      </c>
    </row>
    <row r="184" ht="44" customHeight="1">
      <c r="A184" s="8" t="inlineStr">
        <is>
          <t>Inserir foto</t>
        </is>
      </c>
      <c r="B184" t="inlineStr">
        <is>
          <t>A0183</t>
        </is>
      </c>
    </row>
    <row r="185" ht="44" customHeight="1">
      <c r="A185" s="8" t="inlineStr">
        <is>
          <t>Inserir foto</t>
        </is>
      </c>
      <c r="B185" t="inlineStr">
        <is>
          <t>A0184</t>
        </is>
      </c>
    </row>
    <row r="186" ht="44" customHeight="1">
      <c r="A186" s="8" t="inlineStr">
        <is>
          <t>Inserir foto</t>
        </is>
      </c>
      <c r="B186" t="inlineStr">
        <is>
          <t>A0185</t>
        </is>
      </c>
    </row>
    <row r="187" ht="44" customHeight="1">
      <c r="A187" s="8" t="inlineStr">
        <is>
          <t>Inserir foto</t>
        </is>
      </c>
      <c r="B187" t="inlineStr">
        <is>
          <t>A0186</t>
        </is>
      </c>
    </row>
    <row r="188" ht="44" customHeight="1">
      <c r="A188" s="8" t="inlineStr">
        <is>
          <t>Inserir foto</t>
        </is>
      </c>
      <c r="B188" t="inlineStr">
        <is>
          <t>A0187</t>
        </is>
      </c>
    </row>
    <row r="189" ht="44" customHeight="1">
      <c r="A189" s="8" t="inlineStr">
        <is>
          <t>Inserir foto</t>
        </is>
      </c>
      <c r="B189" t="inlineStr">
        <is>
          <t>A0188</t>
        </is>
      </c>
    </row>
    <row r="190" ht="44" customHeight="1">
      <c r="A190" s="8" t="inlineStr">
        <is>
          <t>Inserir foto</t>
        </is>
      </c>
      <c r="B190" t="inlineStr">
        <is>
          <t>A0189</t>
        </is>
      </c>
    </row>
    <row r="191" ht="44" customHeight="1">
      <c r="A191" s="8" t="inlineStr">
        <is>
          <t>Inserir foto</t>
        </is>
      </c>
      <c r="B191" t="inlineStr">
        <is>
          <t>A0190</t>
        </is>
      </c>
    </row>
    <row r="192" ht="44" customHeight="1">
      <c r="A192" s="8" t="inlineStr">
        <is>
          <t>Inserir foto</t>
        </is>
      </c>
      <c r="B192" t="inlineStr">
        <is>
          <t>A0191</t>
        </is>
      </c>
    </row>
    <row r="193" ht="44" customHeight="1">
      <c r="A193" s="8" t="inlineStr">
        <is>
          <t>Inserir foto</t>
        </is>
      </c>
      <c r="B193" t="inlineStr">
        <is>
          <t>A0192</t>
        </is>
      </c>
    </row>
    <row r="194" ht="44" customHeight="1">
      <c r="A194" s="8" t="inlineStr">
        <is>
          <t>Inserir foto</t>
        </is>
      </c>
      <c r="B194" t="inlineStr">
        <is>
          <t>A0193</t>
        </is>
      </c>
    </row>
    <row r="195" ht="44" customHeight="1">
      <c r="A195" s="8" t="inlineStr">
        <is>
          <t>Inserir foto</t>
        </is>
      </c>
      <c r="B195" t="inlineStr">
        <is>
          <t>A0194</t>
        </is>
      </c>
    </row>
    <row r="196" ht="44" customHeight="1">
      <c r="A196" s="8" t="inlineStr">
        <is>
          <t>Inserir foto</t>
        </is>
      </c>
      <c r="B196" t="inlineStr">
        <is>
          <t>A0195</t>
        </is>
      </c>
    </row>
    <row r="197" ht="44" customHeight="1">
      <c r="A197" s="8" t="inlineStr">
        <is>
          <t>Inserir foto</t>
        </is>
      </c>
      <c r="B197" t="inlineStr">
        <is>
          <t>A0196</t>
        </is>
      </c>
    </row>
    <row r="198" ht="44" customHeight="1">
      <c r="A198" s="8" t="inlineStr">
        <is>
          <t>Inserir foto</t>
        </is>
      </c>
      <c r="B198" t="inlineStr">
        <is>
          <t>A0197</t>
        </is>
      </c>
    </row>
    <row r="199" ht="44" customHeight="1">
      <c r="A199" s="8" t="inlineStr">
        <is>
          <t>Inserir foto</t>
        </is>
      </c>
      <c r="B199" t="inlineStr">
        <is>
          <t>A0198</t>
        </is>
      </c>
    </row>
    <row r="200" ht="44" customHeight="1">
      <c r="A200" s="8" t="inlineStr">
        <is>
          <t>Inserir foto</t>
        </is>
      </c>
      <c r="B200" t="inlineStr">
        <is>
          <t>A0199</t>
        </is>
      </c>
    </row>
    <row r="201" ht="44" customHeight="1">
      <c r="A201" s="8" t="inlineStr">
        <is>
          <t>Inserir foto</t>
        </is>
      </c>
      <c r="B201" t="inlineStr">
        <is>
          <t>A0200</t>
        </is>
      </c>
    </row>
    <row r="202" ht="44" customHeight="1">
      <c r="A202" s="8" t="inlineStr">
        <is>
          <t>Inserir foto</t>
        </is>
      </c>
      <c r="B202" t="inlineStr">
        <is>
          <t>A0201</t>
        </is>
      </c>
    </row>
    <row r="203" ht="44" customHeight="1">
      <c r="A203" s="8" t="inlineStr">
        <is>
          <t>Inserir foto</t>
        </is>
      </c>
      <c r="B203" t="inlineStr">
        <is>
          <t>A0202</t>
        </is>
      </c>
    </row>
    <row r="204" ht="44" customHeight="1">
      <c r="A204" s="8" t="inlineStr">
        <is>
          <t>Inserir foto</t>
        </is>
      </c>
      <c r="B204" t="inlineStr">
        <is>
          <t>A0203</t>
        </is>
      </c>
    </row>
    <row r="205" ht="44" customHeight="1">
      <c r="A205" s="8" t="inlineStr">
        <is>
          <t>Inserir foto</t>
        </is>
      </c>
      <c r="B205" t="inlineStr">
        <is>
          <t>A0204</t>
        </is>
      </c>
    </row>
    <row r="206" ht="44" customHeight="1">
      <c r="A206" s="8" t="inlineStr">
        <is>
          <t>Inserir foto</t>
        </is>
      </c>
      <c r="B206" t="inlineStr">
        <is>
          <t>A0205</t>
        </is>
      </c>
    </row>
    <row r="207" ht="44" customHeight="1">
      <c r="A207" s="8" t="inlineStr">
        <is>
          <t>Inserir foto</t>
        </is>
      </c>
      <c r="B207" t="inlineStr">
        <is>
          <t>A0206</t>
        </is>
      </c>
    </row>
    <row r="208" ht="44" customHeight="1">
      <c r="A208" s="8" t="inlineStr">
        <is>
          <t>Inserir foto</t>
        </is>
      </c>
      <c r="B208" t="inlineStr">
        <is>
          <t>A0207</t>
        </is>
      </c>
    </row>
    <row r="209" ht="44" customHeight="1">
      <c r="A209" s="8" t="inlineStr">
        <is>
          <t>Inserir foto</t>
        </is>
      </c>
      <c r="B209" t="inlineStr">
        <is>
          <t>A0208</t>
        </is>
      </c>
    </row>
    <row r="210" ht="44" customHeight="1">
      <c r="A210" s="8" t="inlineStr">
        <is>
          <t>Inserir foto</t>
        </is>
      </c>
      <c r="B210" t="inlineStr">
        <is>
          <t>A0209</t>
        </is>
      </c>
    </row>
    <row r="211" ht="44" customHeight="1">
      <c r="A211" s="8" t="inlineStr">
        <is>
          <t>Inserir foto</t>
        </is>
      </c>
      <c r="B211" t="inlineStr">
        <is>
          <t>A0210</t>
        </is>
      </c>
    </row>
    <row r="212" ht="44" customHeight="1">
      <c r="A212" s="8" t="inlineStr">
        <is>
          <t>Inserir foto</t>
        </is>
      </c>
      <c r="B212" t="inlineStr">
        <is>
          <t>A0211</t>
        </is>
      </c>
    </row>
    <row r="213" ht="44" customHeight="1">
      <c r="A213" s="8" t="inlineStr">
        <is>
          <t>Inserir foto</t>
        </is>
      </c>
      <c r="B213" t="inlineStr">
        <is>
          <t>A0212</t>
        </is>
      </c>
    </row>
    <row r="214" ht="44" customHeight="1">
      <c r="A214" s="8" t="inlineStr">
        <is>
          <t>Inserir foto</t>
        </is>
      </c>
      <c r="B214" t="inlineStr">
        <is>
          <t>A0213</t>
        </is>
      </c>
    </row>
    <row r="215" ht="44" customHeight="1">
      <c r="A215" s="8" t="inlineStr">
        <is>
          <t>Inserir foto</t>
        </is>
      </c>
      <c r="B215" t="inlineStr">
        <is>
          <t>A0214</t>
        </is>
      </c>
    </row>
    <row r="216" ht="44" customHeight="1">
      <c r="A216" s="8" t="inlineStr">
        <is>
          <t>Inserir foto</t>
        </is>
      </c>
      <c r="B216" t="inlineStr">
        <is>
          <t>A0215</t>
        </is>
      </c>
    </row>
    <row r="217" ht="44" customHeight="1">
      <c r="A217" s="8" t="inlineStr">
        <is>
          <t>Inserir foto</t>
        </is>
      </c>
      <c r="B217" t="inlineStr">
        <is>
          <t>A0216</t>
        </is>
      </c>
    </row>
    <row r="218" ht="44" customHeight="1">
      <c r="A218" s="8" t="inlineStr">
        <is>
          <t>Inserir foto</t>
        </is>
      </c>
      <c r="B218" t="inlineStr">
        <is>
          <t>A0217</t>
        </is>
      </c>
    </row>
    <row r="219" ht="44" customHeight="1">
      <c r="A219" s="8" t="inlineStr">
        <is>
          <t>Inserir foto</t>
        </is>
      </c>
      <c r="B219" t="inlineStr">
        <is>
          <t>A0218</t>
        </is>
      </c>
    </row>
    <row r="220" ht="44" customHeight="1">
      <c r="A220" s="8" t="inlineStr">
        <is>
          <t>Inserir foto</t>
        </is>
      </c>
      <c r="B220" t="inlineStr">
        <is>
          <t>A0219</t>
        </is>
      </c>
    </row>
    <row r="221" ht="44" customHeight="1">
      <c r="A221" s="8" t="inlineStr">
        <is>
          <t>Inserir foto</t>
        </is>
      </c>
      <c r="B221" t="inlineStr">
        <is>
          <t>A0220</t>
        </is>
      </c>
    </row>
    <row r="222" ht="44" customHeight="1">
      <c r="A222" s="8" t="inlineStr">
        <is>
          <t>Inserir foto</t>
        </is>
      </c>
      <c r="B222" t="inlineStr">
        <is>
          <t>A0221</t>
        </is>
      </c>
    </row>
    <row r="223" ht="44" customHeight="1">
      <c r="A223" s="8" t="inlineStr">
        <is>
          <t>Inserir foto</t>
        </is>
      </c>
      <c r="B223" t="inlineStr">
        <is>
          <t>A0222</t>
        </is>
      </c>
    </row>
    <row r="224" ht="44" customHeight="1">
      <c r="A224" s="8" t="inlineStr">
        <is>
          <t>Inserir foto</t>
        </is>
      </c>
      <c r="B224" t="inlineStr">
        <is>
          <t>A0223</t>
        </is>
      </c>
    </row>
    <row r="225" ht="44" customHeight="1">
      <c r="A225" s="8" t="inlineStr">
        <is>
          <t>Inserir foto</t>
        </is>
      </c>
      <c r="B225" t="inlineStr">
        <is>
          <t>A0224</t>
        </is>
      </c>
    </row>
    <row r="226" ht="44" customHeight="1">
      <c r="A226" s="8" t="inlineStr">
        <is>
          <t>Inserir foto</t>
        </is>
      </c>
      <c r="B226" t="inlineStr">
        <is>
          <t>A0225</t>
        </is>
      </c>
    </row>
    <row r="227" ht="44" customHeight="1">
      <c r="A227" s="8" t="inlineStr">
        <is>
          <t>Inserir foto</t>
        </is>
      </c>
      <c r="B227" t="inlineStr">
        <is>
          <t>A0226</t>
        </is>
      </c>
    </row>
    <row r="228" ht="44" customHeight="1">
      <c r="A228" s="8" t="inlineStr">
        <is>
          <t>Inserir foto</t>
        </is>
      </c>
      <c r="B228" t="inlineStr">
        <is>
          <t>A0227</t>
        </is>
      </c>
    </row>
    <row r="229" ht="44" customHeight="1">
      <c r="A229" s="8" t="inlineStr">
        <is>
          <t>Inserir foto</t>
        </is>
      </c>
      <c r="B229" t="inlineStr">
        <is>
          <t>A0228</t>
        </is>
      </c>
    </row>
    <row r="230" ht="44" customHeight="1">
      <c r="A230" s="8" t="inlineStr">
        <is>
          <t>Inserir foto</t>
        </is>
      </c>
      <c r="B230" t="inlineStr">
        <is>
          <t>A0229</t>
        </is>
      </c>
    </row>
    <row r="231" ht="44" customHeight="1">
      <c r="A231" s="8" t="inlineStr">
        <is>
          <t>Inserir foto</t>
        </is>
      </c>
      <c r="B231" t="inlineStr">
        <is>
          <t>A0230</t>
        </is>
      </c>
    </row>
    <row r="232" ht="44" customHeight="1">
      <c r="A232" s="8" t="inlineStr">
        <is>
          <t>Inserir foto</t>
        </is>
      </c>
      <c r="B232" t="inlineStr">
        <is>
          <t>A0231</t>
        </is>
      </c>
    </row>
    <row r="233" ht="44" customHeight="1">
      <c r="A233" s="8" t="inlineStr">
        <is>
          <t>Inserir foto</t>
        </is>
      </c>
      <c r="B233" t="inlineStr">
        <is>
          <t>A0232</t>
        </is>
      </c>
    </row>
    <row r="234" ht="44" customHeight="1">
      <c r="A234" s="8" t="inlineStr">
        <is>
          <t>Inserir foto</t>
        </is>
      </c>
      <c r="B234" t="inlineStr">
        <is>
          <t>A0233</t>
        </is>
      </c>
    </row>
    <row r="235" ht="44" customHeight="1">
      <c r="A235" s="8" t="inlineStr">
        <is>
          <t>Inserir foto</t>
        </is>
      </c>
      <c r="B235" t="inlineStr">
        <is>
          <t>A0234</t>
        </is>
      </c>
    </row>
    <row r="236" ht="44" customHeight="1">
      <c r="A236" s="8" t="inlineStr">
        <is>
          <t>Inserir foto</t>
        </is>
      </c>
      <c r="B236" t="inlineStr">
        <is>
          <t>A0235</t>
        </is>
      </c>
    </row>
    <row r="237" ht="44" customHeight="1">
      <c r="A237" s="8" t="inlineStr">
        <is>
          <t>Inserir foto</t>
        </is>
      </c>
      <c r="B237" t="inlineStr">
        <is>
          <t>A0236</t>
        </is>
      </c>
    </row>
    <row r="238" ht="44" customHeight="1">
      <c r="A238" s="8" t="inlineStr">
        <is>
          <t>Inserir foto</t>
        </is>
      </c>
      <c r="B238" t="inlineStr">
        <is>
          <t>A0237</t>
        </is>
      </c>
    </row>
    <row r="239" ht="44" customHeight="1">
      <c r="A239" s="8" t="inlineStr">
        <is>
          <t>Inserir foto</t>
        </is>
      </c>
      <c r="B239" t="inlineStr">
        <is>
          <t>A0238</t>
        </is>
      </c>
    </row>
    <row r="240" ht="44" customHeight="1">
      <c r="A240" s="8" t="inlineStr">
        <is>
          <t>Inserir foto</t>
        </is>
      </c>
      <c r="B240" t="inlineStr">
        <is>
          <t>A0239</t>
        </is>
      </c>
    </row>
    <row r="241" ht="44" customHeight="1">
      <c r="A241" s="8" t="inlineStr">
        <is>
          <t>Inserir foto</t>
        </is>
      </c>
      <c r="B241" t="inlineStr">
        <is>
          <t>A0240</t>
        </is>
      </c>
    </row>
    <row r="242" ht="44" customHeight="1">
      <c r="A242" s="8" t="inlineStr">
        <is>
          <t>Inserir foto</t>
        </is>
      </c>
      <c r="B242" t="inlineStr">
        <is>
          <t>A0241</t>
        </is>
      </c>
    </row>
    <row r="243" ht="44" customHeight="1">
      <c r="A243" s="8" t="inlineStr">
        <is>
          <t>Inserir foto</t>
        </is>
      </c>
      <c r="B243" t="inlineStr">
        <is>
          <t>A0242</t>
        </is>
      </c>
    </row>
    <row r="244" ht="44" customHeight="1">
      <c r="A244" s="8" t="inlineStr">
        <is>
          <t>Inserir foto</t>
        </is>
      </c>
      <c r="B244" t="inlineStr">
        <is>
          <t>A0243</t>
        </is>
      </c>
    </row>
    <row r="245" ht="44" customHeight="1">
      <c r="A245" s="8" t="inlineStr">
        <is>
          <t>Inserir foto</t>
        </is>
      </c>
      <c r="B245" t="inlineStr">
        <is>
          <t>A0244</t>
        </is>
      </c>
    </row>
    <row r="246" ht="44" customHeight="1">
      <c r="A246" s="8" t="inlineStr">
        <is>
          <t>Inserir foto</t>
        </is>
      </c>
      <c r="B246" t="inlineStr">
        <is>
          <t>A0245</t>
        </is>
      </c>
    </row>
    <row r="247" ht="44" customHeight="1">
      <c r="A247" s="8" t="inlineStr">
        <is>
          <t>Inserir foto</t>
        </is>
      </c>
      <c r="B247" t="inlineStr">
        <is>
          <t>A0246</t>
        </is>
      </c>
    </row>
    <row r="248" ht="44" customHeight="1">
      <c r="A248" s="8" t="inlineStr">
        <is>
          <t>Inserir foto</t>
        </is>
      </c>
      <c r="B248" t="inlineStr">
        <is>
          <t>A0247</t>
        </is>
      </c>
    </row>
    <row r="249" ht="44" customHeight="1">
      <c r="A249" s="8" t="inlineStr">
        <is>
          <t>Inserir foto</t>
        </is>
      </c>
      <c r="B249" t="inlineStr">
        <is>
          <t>A0248</t>
        </is>
      </c>
    </row>
    <row r="250" ht="44" customHeight="1">
      <c r="A250" s="8" t="inlineStr">
        <is>
          <t>Inserir foto</t>
        </is>
      </c>
      <c r="B250" t="inlineStr">
        <is>
          <t>A0249</t>
        </is>
      </c>
    </row>
    <row r="251" ht="44" customHeight="1">
      <c r="A251" s="8" t="inlineStr">
        <is>
          <t>Inserir foto</t>
        </is>
      </c>
      <c r="B251" t="inlineStr">
        <is>
          <t>A0250</t>
        </is>
      </c>
    </row>
    <row r="252" ht="44" customHeight="1">
      <c r="A252" s="8" t="inlineStr">
        <is>
          <t>Inserir foto</t>
        </is>
      </c>
      <c r="B252" t="inlineStr">
        <is>
          <t>A0251</t>
        </is>
      </c>
    </row>
    <row r="253" ht="44" customHeight="1">
      <c r="A253" s="8" t="inlineStr">
        <is>
          <t>Inserir foto</t>
        </is>
      </c>
      <c r="B253" t="inlineStr">
        <is>
          <t>A0252</t>
        </is>
      </c>
    </row>
    <row r="254" ht="44" customHeight="1">
      <c r="A254" s="8" t="inlineStr">
        <is>
          <t>Inserir foto</t>
        </is>
      </c>
      <c r="B254" t="inlineStr">
        <is>
          <t>A0253</t>
        </is>
      </c>
    </row>
    <row r="255" ht="44" customHeight="1">
      <c r="A255" s="8" t="inlineStr">
        <is>
          <t>Inserir foto</t>
        </is>
      </c>
      <c r="B255" t="inlineStr">
        <is>
          <t>A0254</t>
        </is>
      </c>
    </row>
    <row r="256" ht="44" customHeight="1">
      <c r="A256" s="8" t="inlineStr">
        <is>
          <t>Inserir foto</t>
        </is>
      </c>
      <c r="B256" t="inlineStr">
        <is>
          <t>A0255</t>
        </is>
      </c>
    </row>
    <row r="257" ht="44" customHeight="1">
      <c r="A257" s="8" t="inlineStr">
        <is>
          <t>Inserir foto</t>
        </is>
      </c>
      <c r="B257" t="inlineStr">
        <is>
          <t>A0256</t>
        </is>
      </c>
    </row>
    <row r="258" ht="44" customHeight="1">
      <c r="A258" s="8" t="inlineStr">
        <is>
          <t>Inserir foto</t>
        </is>
      </c>
      <c r="B258" t="inlineStr">
        <is>
          <t>A0257</t>
        </is>
      </c>
    </row>
    <row r="259" ht="44" customHeight="1">
      <c r="A259" s="8" t="inlineStr">
        <is>
          <t>Inserir foto</t>
        </is>
      </c>
      <c r="B259" t="inlineStr">
        <is>
          <t>A0258</t>
        </is>
      </c>
    </row>
    <row r="260" ht="44" customHeight="1">
      <c r="A260" s="8" t="inlineStr">
        <is>
          <t>Inserir foto</t>
        </is>
      </c>
      <c r="B260" t="inlineStr">
        <is>
          <t>A0259</t>
        </is>
      </c>
    </row>
    <row r="261" ht="44" customHeight="1">
      <c r="A261" s="8" t="inlineStr">
        <is>
          <t>Inserir foto</t>
        </is>
      </c>
      <c r="B261" t="inlineStr">
        <is>
          <t>A0260</t>
        </is>
      </c>
    </row>
    <row r="262" ht="44" customHeight="1">
      <c r="A262" s="8" t="inlineStr">
        <is>
          <t>Inserir foto</t>
        </is>
      </c>
      <c r="B262" t="inlineStr">
        <is>
          <t>A0261</t>
        </is>
      </c>
    </row>
    <row r="263" ht="44" customHeight="1">
      <c r="A263" s="8" t="inlineStr">
        <is>
          <t>Inserir foto</t>
        </is>
      </c>
      <c r="B263" t="inlineStr">
        <is>
          <t>A0262</t>
        </is>
      </c>
    </row>
    <row r="264" ht="44" customHeight="1">
      <c r="A264" s="8" t="inlineStr">
        <is>
          <t>Inserir foto</t>
        </is>
      </c>
      <c r="B264" t="inlineStr">
        <is>
          <t>A0263</t>
        </is>
      </c>
    </row>
    <row r="265" ht="44" customHeight="1">
      <c r="A265" s="8" t="inlineStr">
        <is>
          <t>Inserir foto</t>
        </is>
      </c>
      <c r="B265" t="inlineStr">
        <is>
          <t>A0264</t>
        </is>
      </c>
    </row>
    <row r="266" ht="44" customHeight="1">
      <c r="A266" s="8" t="inlineStr">
        <is>
          <t>Inserir foto</t>
        </is>
      </c>
      <c r="B266" t="inlineStr">
        <is>
          <t>A0265</t>
        </is>
      </c>
    </row>
    <row r="267" ht="44" customHeight="1">
      <c r="A267" s="8" t="inlineStr">
        <is>
          <t>Inserir foto</t>
        </is>
      </c>
      <c r="B267" t="inlineStr">
        <is>
          <t>A0266</t>
        </is>
      </c>
    </row>
    <row r="268" ht="44" customHeight="1">
      <c r="A268" s="8" t="inlineStr">
        <is>
          <t>Inserir foto</t>
        </is>
      </c>
      <c r="B268" t="inlineStr">
        <is>
          <t>A0267</t>
        </is>
      </c>
    </row>
    <row r="269" ht="44" customHeight="1">
      <c r="A269" s="8" t="inlineStr">
        <is>
          <t>Inserir foto</t>
        </is>
      </c>
      <c r="B269" t="inlineStr">
        <is>
          <t>A0268</t>
        </is>
      </c>
    </row>
    <row r="270" ht="44" customHeight="1">
      <c r="A270" s="8" t="inlineStr">
        <is>
          <t>Inserir foto</t>
        </is>
      </c>
      <c r="B270" t="inlineStr">
        <is>
          <t>A0269</t>
        </is>
      </c>
    </row>
    <row r="271" ht="44" customHeight="1">
      <c r="A271" s="8" t="inlineStr">
        <is>
          <t>Inserir foto</t>
        </is>
      </c>
      <c r="B271" t="inlineStr">
        <is>
          <t>A0270</t>
        </is>
      </c>
    </row>
    <row r="272" ht="44" customHeight="1">
      <c r="A272" s="8" t="inlineStr">
        <is>
          <t>Inserir foto</t>
        </is>
      </c>
      <c r="B272" t="inlineStr">
        <is>
          <t>A0271</t>
        </is>
      </c>
    </row>
    <row r="273" ht="44" customHeight="1">
      <c r="A273" s="8" t="inlineStr">
        <is>
          <t>Inserir foto</t>
        </is>
      </c>
      <c r="B273" t="inlineStr">
        <is>
          <t>A0272</t>
        </is>
      </c>
    </row>
    <row r="274" ht="44" customHeight="1">
      <c r="A274" s="8" t="inlineStr">
        <is>
          <t>Inserir foto</t>
        </is>
      </c>
      <c r="B274" t="inlineStr">
        <is>
          <t>A0273</t>
        </is>
      </c>
    </row>
    <row r="275" ht="44" customHeight="1">
      <c r="A275" s="8" t="inlineStr">
        <is>
          <t>Inserir foto</t>
        </is>
      </c>
      <c r="B275" t="inlineStr">
        <is>
          <t>A0274</t>
        </is>
      </c>
    </row>
    <row r="276" ht="44" customHeight="1">
      <c r="A276" s="8" t="inlineStr">
        <is>
          <t>Inserir foto</t>
        </is>
      </c>
      <c r="B276" t="inlineStr">
        <is>
          <t>A0275</t>
        </is>
      </c>
    </row>
    <row r="277" ht="44" customHeight="1">
      <c r="A277" s="8" t="inlineStr">
        <is>
          <t>Inserir foto</t>
        </is>
      </c>
      <c r="B277" t="inlineStr">
        <is>
          <t>A0276</t>
        </is>
      </c>
    </row>
    <row r="278" ht="44" customHeight="1">
      <c r="A278" s="8" t="inlineStr">
        <is>
          <t>Inserir foto</t>
        </is>
      </c>
      <c r="B278" t="inlineStr">
        <is>
          <t>A0277</t>
        </is>
      </c>
    </row>
    <row r="279" ht="44" customHeight="1">
      <c r="A279" s="8" t="inlineStr">
        <is>
          <t>Inserir foto</t>
        </is>
      </c>
      <c r="B279" t="inlineStr">
        <is>
          <t>A0278</t>
        </is>
      </c>
    </row>
    <row r="280" ht="44" customHeight="1">
      <c r="A280" s="8" t="inlineStr">
        <is>
          <t>Inserir foto</t>
        </is>
      </c>
      <c r="B280" t="inlineStr">
        <is>
          <t>A0279</t>
        </is>
      </c>
    </row>
    <row r="281" ht="44" customHeight="1">
      <c r="A281" s="8" t="inlineStr">
        <is>
          <t>Inserir foto</t>
        </is>
      </c>
      <c r="B281" t="inlineStr">
        <is>
          <t>A0280</t>
        </is>
      </c>
    </row>
    <row r="282" ht="44" customHeight="1">
      <c r="A282" s="8" t="inlineStr">
        <is>
          <t>Inserir foto</t>
        </is>
      </c>
      <c r="B282" t="inlineStr">
        <is>
          <t>A0281</t>
        </is>
      </c>
    </row>
    <row r="283" ht="44" customHeight="1">
      <c r="A283" s="8" t="inlineStr">
        <is>
          <t>Inserir foto</t>
        </is>
      </c>
      <c r="B283" t="inlineStr">
        <is>
          <t>A0282</t>
        </is>
      </c>
    </row>
    <row r="284" ht="44" customHeight="1">
      <c r="A284" s="8" t="inlineStr">
        <is>
          <t>Inserir foto</t>
        </is>
      </c>
      <c r="B284" t="inlineStr">
        <is>
          <t>A0283</t>
        </is>
      </c>
    </row>
    <row r="285" ht="44" customHeight="1">
      <c r="A285" s="8" t="inlineStr">
        <is>
          <t>Inserir foto</t>
        </is>
      </c>
      <c r="B285" t="inlineStr">
        <is>
          <t>A0284</t>
        </is>
      </c>
    </row>
    <row r="286" ht="44" customHeight="1">
      <c r="A286" s="8" t="inlineStr">
        <is>
          <t>Inserir foto</t>
        </is>
      </c>
      <c r="B286" t="inlineStr">
        <is>
          <t>A0285</t>
        </is>
      </c>
    </row>
    <row r="287" ht="44" customHeight="1">
      <c r="A287" s="8" t="inlineStr">
        <is>
          <t>Inserir foto</t>
        </is>
      </c>
      <c r="B287" t="inlineStr">
        <is>
          <t>A0286</t>
        </is>
      </c>
    </row>
    <row r="288" ht="44" customHeight="1">
      <c r="A288" s="8" t="inlineStr">
        <is>
          <t>Inserir foto</t>
        </is>
      </c>
      <c r="B288" t="inlineStr">
        <is>
          <t>A0287</t>
        </is>
      </c>
    </row>
    <row r="289" ht="44" customHeight="1">
      <c r="A289" s="8" t="inlineStr">
        <is>
          <t>Inserir foto</t>
        </is>
      </c>
      <c r="B289" t="inlineStr">
        <is>
          <t>A0288</t>
        </is>
      </c>
    </row>
    <row r="290" ht="44" customHeight="1">
      <c r="A290" s="8" t="inlineStr">
        <is>
          <t>Inserir foto</t>
        </is>
      </c>
      <c r="B290" t="inlineStr">
        <is>
          <t>A0289</t>
        </is>
      </c>
    </row>
    <row r="291" ht="44" customHeight="1">
      <c r="A291" s="8" t="inlineStr">
        <is>
          <t>Inserir foto</t>
        </is>
      </c>
      <c r="B291" t="inlineStr">
        <is>
          <t>A0290</t>
        </is>
      </c>
    </row>
    <row r="292" ht="44" customHeight="1">
      <c r="A292" s="8" t="inlineStr">
        <is>
          <t>Inserir foto</t>
        </is>
      </c>
      <c r="B292" t="inlineStr">
        <is>
          <t>A0291</t>
        </is>
      </c>
    </row>
    <row r="293" ht="44" customHeight="1">
      <c r="A293" s="8" t="inlineStr">
        <is>
          <t>Inserir foto</t>
        </is>
      </c>
      <c r="B293" t="inlineStr">
        <is>
          <t>A0292</t>
        </is>
      </c>
    </row>
    <row r="294" ht="44" customHeight="1">
      <c r="A294" s="8" t="inlineStr">
        <is>
          <t>Inserir foto</t>
        </is>
      </c>
      <c r="B294" t="inlineStr">
        <is>
          <t>A0293</t>
        </is>
      </c>
    </row>
    <row r="295" ht="44" customHeight="1">
      <c r="A295" s="8" t="inlineStr">
        <is>
          <t>Inserir foto</t>
        </is>
      </c>
      <c r="B295" t="inlineStr">
        <is>
          <t>A0294</t>
        </is>
      </c>
    </row>
    <row r="296" ht="44" customHeight="1">
      <c r="A296" s="8" t="inlineStr">
        <is>
          <t>Inserir foto</t>
        </is>
      </c>
      <c r="B296" t="inlineStr">
        <is>
          <t>A0295</t>
        </is>
      </c>
    </row>
    <row r="297" ht="44" customHeight="1">
      <c r="A297" s="8" t="inlineStr">
        <is>
          <t>Inserir foto</t>
        </is>
      </c>
      <c r="B297" t="inlineStr">
        <is>
          <t>A0296</t>
        </is>
      </c>
    </row>
    <row r="298" ht="44" customHeight="1">
      <c r="A298" s="8" t="inlineStr">
        <is>
          <t>Inserir foto</t>
        </is>
      </c>
      <c r="B298" t="inlineStr">
        <is>
          <t>A0297</t>
        </is>
      </c>
    </row>
    <row r="299" ht="44" customHeight="1">
      <c r="A299" s="8" t="inlineStr">
        <is>
          <t>Inserir foto</t>
        </is>
      </c>
      <c r="B299" t="inlineStr">
        <is>
          <t>A0298</t>
        </is>
      </c>
    </row>
    <row r="300" ht="44" customHeight="1">
      <c r="A300" s="8" t="inlineStr">
        <is>
          <t>Inserir foto</t>
        </is>
      </c>
      <c r="B300" t="inlineStr">
        <is>
          <t>A0299</t>
        </is>
      </c>
    </row>
    <row r="301" ht="44" customHeight="1">
      <c r="A301" s="8" t="inlineStr">
        <is>
          <t>Inserir foto</t>
        </is>
      </c>
      <c r="B301" t="inlineStr">
        <is>
          <t>A0300</t>
        </is>
      </c>
    </row>
    <row r="302" ht="44" customHeight="1">
      <c r="A302" s="8" t="inlineStr">
        <is>
          <t>Inserir foto</t>
        </is>
      </c>
      <c r="B302" t="inlineStr">
        <is>
          <t>A0301</t>
        </is>
      </c>
    </row>
    <row r="303" ht="44" customHeight="1">
      <c r="A303" s="8" t="inlineStr">
        <is>
          <t>Inserir foto</t>
        </is>
      </c>
      <c r="B303" t="inlineStr">
        <is>
          <t>A0302</t>
        </is>
      </c>
    </row>
    <row r="304" ht="44" customHeight="1">
      <c r="A304" s="8" t="inlineStr">
        <is>
          <t>Inserir foto</t>
        </is>
      </c>
      <c r="B304" t="inlineStr">
        <is>
          <t>A0303</t>
        </is>
      </c>
    </row>
    <row r="305" ht="44" customHeight="1">
      <c r="A305" s="8" t="inlineStr">
        <is>
          <t>Inserir foto</t>
        </is>
      </c>
      <c r="B305" t="inlineStr">
        <is>
          <t>A0304</t>
        </is>
      </c>
    </row>
    <row r="306" ht="44" customHeight="1">
      <c r="A306" s="8" t="inlineStr">
        <is>
          <t>Inserir foto</t>
        </is>
      </c>
      <c r="B306" t="inlineStr">
        <is>
          <t>A0305</t>
        </is>
      </c>
    </row>
    <row r="307" ht="44" customHeight="1">
      <c r="A307" s="8" t="inlineStr">
        <is>
          <t>Inserir foto</t>
        </is>
      </c>
      <c r="B307" t="inlineStr">
        <is>
          <t>A0306</t>
        </is>
      </c>
    </row>
    <row r="308" ht="44" customHeight="1">
      <c r="A308" s="8" t="inlineStr">
        <is>
          <t>Inserir foto</t>
        </is>
      </c>
      <c r="B308" t="inlineStr">
        <is>
          <t>A0307</t>
        </is>
      </c>
    </row>
    <row r="309" ht="44" customHeight="1">
      <c r="A309" s="8" t="inlineStr">
        <is>
          <t>Inserir foto</t>
        </is>
      </c>
      <c r="B309" t="inlineStr">
        <is>
          <t>A0308</t>
        </is>
      </c>
    </row>
    <row r="310" ht="44" customHeight="1">
      <c r="A310" s="8" t="inlineStr">
        <is>
          <t>Inserir foto</t>
        </is>
      </c>
      <c r="B310" t="inlineStr">
        <is>
          <t>A0309</t>
        </is>
      </c>
    </row>
    <row r="311" ht="44" customHeight="1">
      <c r="A311" s="8" t="inlineStr">
        <is>
          <t>Inserir foto</t>
        </is>
      </c>
      <c r="B311" t="inlineStr">
        <is>
          <t>A0310</t>
        </is>
      </c>
    </row>
    <row r="312" ht="44" customHeight="1">
      <c r="A312" s="8" t="inlineStr">
        <is>
          <t>Inserir foto</t>
        </is>
      </c>
      <c r="B312" t="inlineStr">
        <is>
          <t>A0311</t>
        </is>
      </c>
    </row>
    <row r="313" ht="44" customHeight="1">
      <c r="A313" s="8" t="inlineStr">
        <is>
          <t>Inserir foto</t>
        </is>
      </c>
      <c r="B313" t="inlineStr">
        <is>
          <t>A0312</t>
        </is>
      </c>
    </row>
    <row r="314" ht="44" customHeight="1">
      <c r="A314" s="8" t="inlineStr">
        <is>
          <t>Inserir foto</t>
        </is>
      </c>
      <c r="B314" t="inlineStr">
        <is>
          <t>A0313</t>
        </is>
      </c>
    </row>
    <row r="315" ht="44" customHeight="1">
      <c r="A315" s="8" t="inlineStr">
        <is>
          <t>Inserir foto</t>
        </is>
      </c>
      <c r="B315" t="inlineStr">
        <is>
          <t>A0314</t>
        </is>
      </c>
    </row>
    <row r="316" ht="44" customHeight="1">
      <c r="A316" s="8" t="inlineStr">
        <is>
          <t>Inserir foto</t>
        </is>
      </c>
      <c r="B316" t="inlineStr">
        <is>
          <t>A0315</t>
        </is>
      </c>
    </row>
    <row r="317" ht="44" customHeight="1">
      <c r="A317" s="8" t="inlineStr">
        <is>
          <t>Inserir foto</t>
        </is>
      </c>
      <c r="B317" t="inlineStr">
        <is>
          <t>A0316</t>
        </is>
      </c>
    </row>
    <row r="318" ht="44" customHeight="1">
      <c r="A318" s="8" t="inlineStr">
        <is>
          <t>Inserir foto</t>
        </is>
      </c>
      <c r="B318" t="inlineStr">
        <is>
          <t>A0317</t>
        </is>
      </c>
    </row>
    <row r="319" ht="44" customHeight="1">
      <c r="A319" s="8" t="inlineStr">
        <is>
          <t>Inserir foto</t>
        </is>
      </c>
      <c r="B319" t="inlineStr">
        <is>
          <t>A0318</t>
        </is>
      </c>
    </row>
    <row r="320" ht="44" customHeight="1">
      <c r="A320" s="8" t="inlineStr">
        <is>
          <t>Inserir foto</t>
        </is>
      </c>
      <c r="B320" t="inlineStr">
        <is>
          <t>A0319</t>
        </is>
      </c>
    </row>
    <row r="321" ht="44" customHeight="1">
      <c r="A321" s="8" t="inlineStr">
        <is>
          <t>Inserir foto</t>
        </is>
      </c>
      <c r="B321" t="inlineStr">
        <is>
          <t>A0320</t>
        </is>
      </c>
    </row>
    <row r="322" ht="44" customHeight="1">
      <c r="A322" s="8" t="inlineStr">
        <is>
          <t>Inserir foto</t>
        </is>
      </c>
      <c r="B322" t="inlineStr">
        <is>
          <t>A0321</t>
        </is>
      </c>
    </row>
    <row r="323" ht="44" customHeight="1">
      <c r="A323" s="8" t="inlineStr">
        <is>
          <t>Inserir foto</t>
        </is>
      </c>
      <c r="B323" t="inlineStr">
        <is>
          <t>A0322</t>
        </is>
      </c>
    </row>
    <row r="324" ht="44" customHeight="1">
      <c r="A324" s="8" t="inlineStr">
        <is>
          <t>Inserir foto</t>
        </is>
      </c>
      <c r="B324" t="inlineStr">
        <is>
          <t>A0323</t>
        </is>
      </c>
    </row>
    <row r="325" ht="44" customHeight="1">
      <c r="A325" s="8" t="inlineStr">
        <is>
          <t>Inserir foto</t>
        </is>
      </c>
      <c r="B325" t="inlineStr">
        <is>
          <t>A0324</t>
        </is>
      </c>
    </row>
    <row r="326" ht="44" customHeight="1">
      <c r="A326" s="8" t="inlineStr">
        <is>
          <t>Inserir foto</t>
        </is>
      </c>
      <c r="B326" t="inlineStr">
        <is>
          <t>A0325</t>
        </is>
      </c>
    </row>
    <row r="327" ht="44" customHeight="1">
      <c r="A327" s="8" t="inlineStr">
        <is>
          <t>Inserir foto</t>
        </is>
      </c>
      <c r="B327" t="inlineStr">
        <is>
          <t>A0326</t>
        </is>
      </c>
    </row>
    <row r="328" ht="44" customHeight="1">
      <c r="A328" s="8" t="inlineStr">
        <is>
          <t>Inserir foto</t>
        </is>
      </c>
      <c r="B328" t="inlineStr">
        <is>
          <t>A0327</t>
        </is>
      </c>
    </row>
    <row r="329" ht="44" customHeight="1">
      <c r="A329" s="8" t="inlineStr">
        <is>
          <t>Inserir foto</t>
        </is>
      </c>
      <c r="B329" t="inlineStr">
        <is>
          <t>A0328</t>
        </is>
      </c>
    </row>
    <row r="330" ht="44" customHeight="1">
      <c r="A330" s="8" t="inlineStr">
        <is>
          <t>Inserir foto</t>
        </is>
      </c>
      <c r="B330" t="inlineStr">
        <is>
          <t>A0329</t>
        </is>
      </c>
    </row>
    <row r="331" ht="44" customHeight="1">
      <c r="A331" s="8" t="inlineStr">
        <is>
          <t>Inserir foto</t>
        </is>
      </c>
      <c r="B331" t="inlineStr">
        <is>
          <t>A0330</t>
        </is>
      </c>
    </row>
    <row r="332" ht="44" customHeight="1">
      <c r="A332" s="8" t="inlineStr">
        <is>
          <t>Inserir foto</t>
        </is>
      </c>
      <c r="B332" t="inlineStr">
        <is>
          <t>A0331</t>
        </is>
      </c>
    </row>
    <row r="333" ht="44" customHeight="1">
      <c r="A333" s="8" t="inlineStr">
        <is>
          <t>Inserir foto</t>
        </is>
      </c>
      <c r="B333" t="inlineStr">
        <is>
          <t>A0332</t>
        </is>
      </c>
    </row>
    <row r="334" ht="44" customHeight="1">
      <c r="A334" s="8" t="inlineStr">
        <is>
          <t>Inserir foto</t>
        </is>
      </c>
      <c r="B334" t="inlineStr">
        <is>
          <t>A0333</t>
        </is>
      </c>
    </row>
    <row r="335" ht="44" customHeight="1">
      <c r="A335" s="8" t="inlineStr">
        <is>
          <t>Inserir foto</t>
        </is>
      </c>
      <c r="B335" t="inlineStr">
        <is>
          <t>A0334</t>
        </is>
      </c>
    </row>
    <row r="336" ht="44" customHeight="1">
      <c r="A336" s="8" t="inlineStr">
        <is>
          <t>Inserir foto</t>
        </is>
      </c>
      <c r="B336" t="inlineStr">
        <is>
          <t>A0335</t>
        </is>
      </c>
    </row>
    <row r="337" ht="44" customHeight="1">
      <c r="A337" s="8" t="inlineStr">
        <is>
          <t>Inserir foto</t>
        </is>
      </c>
      <c r="B337" t="inlineStr">
        <is>
          <t>A0336</t>
        </is>
      </c>
    </row>
    <row r="338" ht="44" customHeight="1">
      <c r="A338" s="8" t="inlineStr">
        <is>
          <t>Inserir foto</t>
        </is>
      </c>
      <c r="B338" t="inlineStr">
        <is>
          <t>A0337</t>
        </is>
      </c>
    </row>
    <row r="339" ht="44" customHeight="1">
      <c r="A339" s="8" t="inlineStr">
        <is>
          <t>Inserir foto</t>
        </is>
      </c>
      <c r="B339" t="inlineStr">
        <is>
          <t>A0338</t>
        </is>
      </c>
    </row>
    <row r="340" ht="44" customHeight="1">
      <c r="A340" s="8" t="inlineStr">
        <is>
          <t>Inserir foto</t>
        </is>
      </c>
      <c r="B340" t="inlineStr">
        <is>
          <t>A0339</t>
        </is>
      </c>
    </row>
    <row r="341" ht="44" customHeight="1">
      <c r="A341" s="8" t="inlineStr">
        <is>
          <t>Inserir foto</t>
        </is>
      </c>
      <c r="B341" t="inlineStr">
        <is>
          <t>A0340</t>
        </is>
      </c>
    </row>
    <row r="342" ht="44" customHeight="1">
      <c r="A342" s="8" t="inlineStr">
        <is>
          <t>Inserir foto</t>
        </is>
      </c>
      <c r="B342" t="inlineStr">
        <is>
          <t>A0341</t>
        </is>
      </c>
    </row>
    <row r="343" ht="44" customHeight="1">
      <c r="A343" s="8" t="inlineStr">
        <is>
          <t>Inserir foto</t>
        </is>
      </c>
      <c r="B343" t="inlineStr">
        <is>
          <t>A0342</t>
        </is>
      </c>
    </row>
    <row r="344" ht="44" customHeight="1">
      <c r="A344" s="8" t="inlineStr">
        <is>
          <t>Inserir foto</t>
        </is>
      </c>
      <c r="B344" t="inlineStr">
        <is>
          <t>A0343</t>
        </is>
      </c>
    </row>
    <row r="345" ht="44" customHeight="1">
      <c r="A345" s="8" t="inlineStr">
        <is>
          <t>Inserir foto</t>
        </is>
      </c>
      <c r="B345" t="inlineStr">
        <is>
          <t>A0344</t>
        </is>
      </c>
    </row>
    <row r="346" ht="44" customHeight="1">
      <c r="A346" s="8" t="inlineStr">
        <is>
          <t>Inserir foto</t>
        </is>
      </c>
      <c r="B346" t="inlineStr">
        <is>
          <t>A0345</t>
        </is>
      </c>
    </row>
    <row r="347" ht="44" customHeight="1">
      <c r="A347" s="8" t="inlineStr">
        <is>
          <t>Inserir foto</t>
        </is>
      </c>
      <c r="B347" t="inlineStr">
        <is>
          <t>A0346</t>
        </is>
      </c>
    </row>
    <row r="348" ht="44" customHeight="1">
      <c r="A348" s="8" t="inlineStr">
        <is>
          <t>Inserir foto</t>
        </is>
      </c>
      <c r="B348" t="inlineStr">
        <is>
          <t>A0347</t>
        </is>
      </c>
    </row>
    <row r="349" ht="44" customHeight="1">
      <c r="A349" s="8" t="inlineStr">
        <is>
          <t>Inserir foto</t>
        </is>
      </c>
      <c r="B349" t="inlineStr">
        <is>
          <t>A0348</t>
        </is>
      </c>
    </row>
    <row r="350" ht="44" customHeight="1">
      <c r="A350" s="8" t="inlineStr">
        <is>
          <t>Inserir foto</t>
        </is>
      </c>
      <c r="B350" t="inlineStr">
        <is>
          <t>A0349</t>
        </is>
      </c>
    </row>
    <row r="351" ht="44" customHeight="1">
      <c r="A351" s="8" t="inlineStr">
        <is>
          <t>Inserir foto</t>
        </is>
      </c>
      <c r="B351" t="inlineStr">
        <is>
          <t>A0350</t>
        </is>
      </c>
    </row>
    <row r="352" ht="44" customHeight="1">
      <c r="A352" s="8" t="inlineStr">
        <is>
          <t>Inserir foto</t>
        </is>
      </c>
      <c r="B352" t="inlineStr">
        <is>
          <t>A0351</t>
        </is>
      </c>
    </row>
    <row r="353" ht="44" customHeight="1">
      <c r="A353" s="8" t="inlineStr">
        <is>
          <t>Inserir foto</t>
        </is>
      </c>
      <c r="B353" t="inlineStr">
        <is>
          <t>A0352</t>
        </is>
      </c>
    </row>
    <row r="354" ht="44" customHeight="1">
      <c r="A354" s="8" t="inlineStr">
        <is>
          <t>Inserir foto</t>
        </is>
      </c>
      <c r="B354" t="inlineStr">
        <is>
          <t>A0353</t>
        </is>
      </c>
    </row>
    <row r="355" ht="44" customHeight="1">
      <c r="A355" s="8" t="inlineStr">
        <is>
          <t>Inserir foto</t>
        </is>
      </c>
      <c r="B355" t="inlineStr">
        <is>
          <t>A0354</t>
        </is>
      </c>
    </row>
    <row r="356" ht="44" customHeight="1">
      <c r="A356" s="8" t="inlineStr">
        <is>
          <t>Inserir foto</t>
        </is>
      </c>
      <c r="B356" t="inlineStr">
        <is>
          <t>A0355</t>
        </is>
      </c>
    </row>
    <row r="357" ht="44" customHeight="1">
      <c r="A357" s="8" t="inlineStr">
        <is>
          <t>Inserir foto</t>
        </is>
      </c>
      <c r="B357" t="inlineStr">
        <is>
          <t>A0356</t>
        </is>
      </c>
    </row>
    <row r="358" ht="44" customHeight="1">
      <c r="A358" s="8" t="inlineStr">
        <is>
          <t>Inserir foto</t>
        </is>
      </c>
      <c r="B358" t="inlineStr">
        <is>
          <t>A0357</t>
        </is>
      </c>
    </row>
    <row r="359" ht="44" customHeight="1">
      <c r="A359" s="8" t="inlineStr">
        <is>
          <t>Inserir foto</t>
        </is>
      </c>
      <c r="B359" t="inlineStr">
        <is>
          <t>A0358</t>
        </is>
      </c>
    </row>
    <row r="360" ht="44" customHeight="1">
      <c r="A360" s="8" t="inlineStr">
        <is>
          <t>Inserir foto</t>
        </is>
      </c>
      <c r="B360" t="inlineStr">
        <is>
          <t>A0359</t>
        </is>
      </c>
    </row>
    <row r="361" ht="44" customHeight="1">
      <c r="A361" s="8" t="inlineStr">
        <is>
          <t>Inserir foto</t>
        </is>
      </c>
      <c r="B361" t="inlineStr">
        <is>
          <t>A0360</t>
        </is>
      </c>
    </row>
    <row r="362" ht="44" customHeight="1">
      <c r="A362" s="8" t="inlineStr">
        <is>
          <t>Inserir foto</t>
        </is>
      </c>
      <c r="B362" t="inlineStr">
        <is>
          <t>A0361</t>
        </is>
      </c>
    </row>
    <row r="363" ht="44" customHeight="1">
      <c r="A363" s="8" t="inlineStr">
        <is>
          <t>Inserir foto</t>
        </is>
      </c>
      <c r="B363" t="inlineStr">
        <is>
          <t>A0362</t>
        </is>
      </c>
    </row>
    <row r="364" ht="44" customHeight="1">
      <c r="A364" s="8" t="inlineStr">
        <is>
          <t>Inserir foto</t>
        </is>
      </c>
      <c r="B364" t="inlineStr">
        <is>
          <t>A0363</t>
        </is>
      </c>
    </row>
    <row r="365" ht="44" customHeight="1">
      <c r="A365" s="8" t="inlineStr">
        <is>
          <t>Inserir foto</t>
        </is>
      </c>
      <c r="B365" t="inlineStr">
        <is>
          <t>A0364</t>
        </is>
      </c>
    </row>
    <row r="366" ht="44" customHeight="1">
      <c r="A366" s="8" t="inlineStr">
        <is>
          <t>Inserir foto</t>
        </is>
      </c>
      <c r="B366" t="inlineStr">
        <is>
          <t>A0365</t>
        </is>
      </c>
    </row>
    <row r="367" ht="44" customHeight="1">
      <c r="A367" s="8" t="inlineStr">
        <is>
          <t>Inserir foto</t>
        </is>
      </c>
      <c r="B367" t="inlineStr">
        <is>
          <t>A0366</t>
        </is>
      </c>
    </row>
    <row r="368" ht="44" customHeight="1">
      <c r="A368" s="8" t="inlineStr">
        <is>
          <t>Inserir foto</t>
        </is>
      </c>
      <c r="B368" t="inlineStr">
        <is>
          <t>A0367</t>
        </is>
      </c>
    </row>
    <row r="369" ht="44" customHeight="1">
      <c r="A369" s="8" t="inlineStr">
        <is>
          <t>Inserir foto</t>
        </is>
      </c>
      <c r="B369" t="inlineStr">
        <is>
          <t>A0368</t>
        </is>
      </c>
    </row>
    <row r="370" ht="44" customHeight="1">
      <c r="A370" s="8" t="inlineStr">
        <is>
          <t>Inserir foto</t>
        </is>
      </c>
      <c r="B370" t="inlineStr">
        <is>
          <t>A0369</t>
        </is>
      </c>
    </row>
    <row r="371" ht="44" customHeight="1">
      <c r="A371" s="8" t="inlineStr">
        <is>
          <t>Inserir foto</t>
        </is>
      </c>
      <c r="B371" t="inlineStr">
        <is>
          <t>A0370</t>
        </is>
      </c>
    </row>
    <row r="372" ht="44" customHeight="1">
      <c r="A372" s="8" t="inlineStr">
        <is>
          <t>Inserir foto</t>
        </is>
      </c>
      <c r="B372" t="inlineStr">
        <is>
          <t>A0371</t>
        </is>
      </c>
    </row>
    <row r="373" ht="44" customHeight="1">
      <c r="A373" s="8" t="inlineStr">
        <is>
          <t>Inserir foto</t>
        </is>
      </c>
      <c r="B373" t="inlineStr">
        <is>
          <t>A0372</t>
        </is>
      </c>
    </row>
    <row r="374" ht="44" customHeight="1">
      <c r="A374" s="8" t="inlineStr">
        <is>
          <t>Inserir foto</t>
        </is>
      </c>
      <c r="B374" t="inlineStr">
        <is>
          <t>A0373</t>
        </is>
      </c>
    </row>
    <row r="375" ht="44" customHeight="1">
      <c r="A375" s="8" t="inlineStr">
        <is>
          <t>Inserir foto</t>
        </is>
      </c>
      <c r="B375" t="inlineStr">
        <is>
          <t>A0374</t>
        </is>
      </c>
    </row>
    <row r="376" ht="44" customHeight="1">
      <c r="A376" s="8" t="inlineStr">
        <is>
          <t>Inserir foto</t>
        </is>
      </c>
      <c r="B376" t="inlineStr">
        <is>
          <t>A0375</t>
        </is>
      </c>
    </row>
    <row r="377" ht="44" customHeight="1">
      <c r="A377" s="8" t="inlineStr">
        <is>
          <t>Inserir foto</t>
        </is>
      </c>
      <c r="B377" t="inlineStr">
        <is>
          <t>A0376</t>
        </is>
      </c>
    </row>
    <row r="378" ht="44" customHeight="1">
      <c r="A378" s="8" t="inlineStr">
        <is>
          <t>Inserir foto</t>
        </is>
      </c>
      <c r="B378" t="inlineStr">
        <is>
          <t>A0377</t>
        </is>
      </c>
    </row>
    <row r="379" ht="44" customHeight="1">
      <c r="A379" s="8" t="inlineStr">
        <is>
          <t>Inserir foto</t>
        </is>
      </c>
      <c r="B379" t="inlineStr">
        <is>
          <t>A0378</t>
        </is>
      </c>
    </row>
    <row r="380" ht="44" customHeight="1">
      <c r="A380" s="8" t="inlineStr">
        <is>
          <t>Inserir foto</t>
        </is>
      </c>
      <c r="B380" t="inlineStr">
        <is>
          <t>A0379</t>
        </is>
      </c>
    </row>
    <row r="381" ht="44" customHeight="1">
      <c r="A381" s="8" t="inlineStr">
        <is>
          <t>Inserir foto</t>
        </is>
      </c>
      <c r="B381" t="inlineStr">
        <is>
          <t>A0380</t>
        </is>
      </c>
    </row>
    <row r="382" ht="44" customHeight="1">
      <c r="A382" s="8" t="inlineStr">
        <is>
          <t>Inserir foto</t>
        </is>
      </c>
      <c r="B382" t="inlineStr">
        <is>
          <t>A0381</t>
        </is>
      </c>
    </row>
    <row r="383" ht="44" customHeight="1">
      <c r="A383" s="8" t="inlineStr">
        <is>
          <t>Inserir foto</t>
        </is>
      </c>
      <c r="B383" t="inlineStr">
        <is>
          <t>A0382</t>
        </is>
      </c>
    </row>
    <row r="384" ht="44" customHeight="1">
      <c r="A384" s="8" t="inlineStr">
        <is>
          <t>Inserir foto</t>
        </is>
      </c>
      <c r="B384" t="inlineStr">
        <is>
          <t>A0383</t>
        </is>
      </c>
    </row>
    <row r="385" ht="44" customHeight="1">
      <c r="A385" s="8" t="inlineStr">
        <is>
          <t>Inserir foto</t>
        </is>
      </c>
      <c r="B385" t="inlineStr">
        <is>
          <t>A0384</t>
        </is>
      </c>
    </row>
    <row r="386" ht="44" customHeight="1">
      <c r="A386" s="8" t="inlineStr">
        <is>
          <t>Inserir foto</t>
        </is>
      </c>
      <c r="B386" t="inlineStr">
        <is>
          <t>A0385</t>
        </is>
      </c>
    </row>
    <row r="387" ht="44" customHeight="1">
      <c r="A387" s="8" t="inlineStr">
        <is>
          <t>Inserir foto</t>
        </is>
      </c>
      <c r="B387" t="inlineStr">
        <is>
          <t>A0386</t>
        </is>
      </c>
    </row>
    <row r="388" ht="44" customHeight="1">
      <c r="A388" s="8" t="inlineStr">
        <is>
          <t>Inserir foto</t>
        </is>
      </c>
      <c r="B388" t="inlineStr">
        <is>
          <t>A0387</t>
        </is>
      </c>
    </row>
    <row r="389" ht="44" customHeight="1">
      <c r="A389" s="8" t="inlineStr">
        <is>
          <t>Inserir foto</t>
        </is>
      </c>
      <c r="B389" t="inlineStr">
        <is>
          <t>A0388</t>
        </is>
      </c>
    </row>
    <row r="390" ht="44" customHeight="1">
      <c r="A390" s="8" t="inlineStr">
        <is>
          <t>Inserir foto</t>
        </is>
      </c>
      <c r="B390" t="inlineStr">
        <is>
          <t>A0389</t>
        </is>
      </c>
    </row>
    <row r="391" ht="44" customHeight="1">
      <c r="A391" s="8" t="inlineStr">
        <is>
          <t>Inserir foto</t>
        </is>
      </c>
      <c r="B391" t="inlineStr">
        <is>
          <t>A0390</t>
        </is>
      </c>
    </row>
    <row r="392" ht="44" customHeight="1">
      <c r="A392" s="8" t="inlineStr">
        <is>
          <t>Inserir foto</t>
        </is>
      </c>
      <c r="B392" t="inlineStr">
        <is>
          <t>A0391</t>
        </is>
      </c>
    </row>
    <row r="393" ht="44" customHeight="1">
      <c r="A393" s="8" t="inlineStr">
        <is>
          <t>Inserir foto</t>
        </is>
      </c>
      <c r="B393" t="inlineStr">
        <is>
          <t>A0392</t>
        </is>
      </c>
    </row>
    <row r="394" ht="44" customHeight="1">
      <c r="A394" s="8" t="inlineStr">
        <is>
          <t>Inserir foto</t>
        </is>
      </c>
      <c r="B394" t="inlineStr">
        <is>
          <t>A0393</t>
        </is>
      </c>
    </row>
    <row r="395" ht="44" customHeight="1">
      <c r="A395" s="8" t="inlineStr">
        <is>
          <t>Inserir foto</t>
        </is>
      </c>
      <c r="B395" t="inlineStr">
        <is>
          <t>A0394</t>
        </is>
      </c>
    </row>
    <row r="396" ht="44" customHeight="1">
      <c r="A396" s="8" t="inlineStr">
        <is>
          <t>Inserir foto</t>
        </is>
      </c>
      <c r="B396" t="inlineStr">
        <is>
          <t>A0395</t>
        </is>
      </c>
    </row>
    <row r="397" ht="44" customHeight="1">
      <c r="A397" s="8" t="inlineStr">
        <is>
          <t>Inserir foto</t>
        </is>
      </c>
      <c r="B397" t="inlineStr">
        <is>
          <t>A0396</t>
        </is>
      </c>
    </row>
    <row r="398" ht="44" customHeight="1">
      <c r="A398" s="8" t="inlineStr">
        <is>
          <t>Inserir foto</t>
        </is>
      </c>
      <c r="B398" t="inlineStr">
        <is>
          <t>A0397</t>
        </is>
      </c>
    </row>
    <row r="399" ht="44" customHeight="1">
      <c r="A399" s="8" t="inlineStr">
        <is>
          <t>Inserir foto</t>
        </is>
      </c>
      <c r="B399" t="inlineStr">
        <is>
          <t>A0398</t>
        </is>
      </c>
    </row>
    <row r="400" ht="44" customHeight="1">
      <c r="A400" s="8" t="inlineStr">
        <is>
          <t>Inserir foto</t>
        </is>
      </c>
      <c r="B400" t="inlineStr">
        <is>
          <t>A0399</t>
        </is>
      </c>
    </row>
    <row r="401" ht="44" customHeight="1">
      <c r="A401" s="8" t="inlineStr">
        <is>
          <t>Inserir foto</t>
        </is>
      </c>
      <c r="B401" t="inlineStr">
        <is>
          <t>A0400</t>
        </is>
      </c>
    </row>
  </sheetData>
  <autoFilter ref="A1:L401"/>
  <conditionalFormatting sqref="D2:D401">
    <cfRule type="expression" priority="1" dxfId="0">
      <formula>AND(D2&lt;&gt;"",COUNTIF($D$2:$D$401,D2)&gt;1)</formula>
    </cfRule>
  </conditionalFormatting>
  <dataValidations count="5">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showDropDown="0" showInputMessage="0" showErrorMessage="0" allowBlank="1" type="list">
      <formula1>='Cadastro_Times'!$B$2:$B$21</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showDropDown="0" showInputMessage="0" showErrorMessage="0" allowBlank="1" type="list">
      <formula1>=Listas!$B$2:$B$20</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showDropDown="0" showInputMessage="0" showErrorMessage="0" allowBlank="1" type="list">
      <formula1>=Listas!$E$2:$E$3</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showDropDown="0" showInputMessage="0" showErrorMessage="0" allowBlank="1" type="list">
      <formula1>=Listas!$C$2:$C$20</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showDropDown="0" showInputMessage="0" showErrorMessage="0" allowBlank="1" type="list">
      <formula1>=Listas!$D$2:$D$20</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K201"/>
  <sheetViews>
    <sheetView showGridLines="0"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22" customWidth="1" min="4" max="4"/>
    <col width="8" customWidth="1" min="5" max="5"/>
    <col width="22" customWidth="1" min="6" max="6"/>
    <col width="8" customWidth="1" min="7" max="7"/>
    <col width="28" customWidth="1" min="8" max="8"/>
    <col width="10" customWidth="1" min="9" max="9"/>
    <col width="10" customWidth="1" min="10" max="10"/>
    <col width="22" customWidth="1" min="11" max="11"/>
  </cols>
  <sheetData>
    <row r="1">
      <c r="A1" s="9" t="inlineStr">
        <is>
          <t>Grupo</t>
        </is>
      </c>
      <c r="B1" s="9" t="inlineStr">
        <is>
          <t>Rodada</t>
        </is>
      </c>
      <c r="C1" s="9" t="inlineStr">
        <is>
          <t>Data</t>
        </is>
      </c>
      <c r="D1" s="9" t="inlineStr">
        <is>
          <t>Mandante</t>
        </is>
      </c>
      <c r="E1" s="9" t="inlineStr">
        <is>
          <t>Gols M</t>
        </is>
      </c>
      <c r="F1" s="9" t="inlineStr">
        <is>
          <t>Visitante</t>
        </is>
      </c>
      <c r="G1" s="9" t="inlineStr">
        <is>
          <t>Gols V</t>
        </is>
      </c>
      <c r="H1" s="9" t="inlineStr">
        <is>
          <t>WO</t>
        </is>
      </c>
      <c r="I1" s="9" t="inlineStr">
        <is>
          <t>Pts M</t>
        </is>
      </c>
      <c r="J1" s="9" t="inlineStr">
        <is>
          <t>Pts V</t>
        </is>
      </c>
      <c r="K1" s="9" t="inlineStr">
        <is>
          <t>Vencedor</t>
        </is>
      </c>
    </row>
    <row r="2">
      <c r="I2">
        <f>IF(H2="Mandante venceu por WO",Config!$B$12,IF(H2="Visitante venceu por WO",Config!$B$13,IF(OR(E2="",G2=""),"",IF(E2&gt;G2,Config!$B$8,IF(E2=G2,Config!$B$9,Config!$B$10)))))</f>
        <v/>
      </c>
      <c r="J2">
        <f>IF(H2="Visitante venceu por WO",Config!$B$12,IF(H2="Mandante venceu por WO",Config!$B$13,IF(OR(E2="",G2=""),"",IF(G2&gt;E2,Config!$B$8,IF(E2=G2,Config!$B$9,Config!$B$10)))))</f>
        <v/>
      </c>
      <c r="K2">
        <f>IF(H2="Mandante venceu por WO",D2,IF(H2="Visitante venceu por WO",F2,IF(OR(E2="",G2=""),"",IF(E2&gt;G2,D2,IF(G2&gt;E2,F2,"Empate")))))</f>
        <v/>
      </c>
    </row>
    <row r="3">
      <c r="I3">
        <f>IF(H3="Mandante venceu por WO",Config!$B$12,IF(H3="Visitante venceu por WO",Config!$B$13,IF(OR(E3="",G3=""),"",IF(E3&gt;G3,Config!$B$8,IF(E3=G3,Config!$B$9,Config!$B$10)))))</f>
        <v/>
      </c>
      <c r="J3">
        <f>IF(H3="Visitante venceu por WO",Config!$B$12,IF(H3="Mandante venceu por WO",Config!$B$13,IF(OR(E3="",G3=""),"",IF(G3&gt;E3,Config!$B$8,IF(E3=G3,Config!$B$9,Config!$B$10)))))</f>
        <v/>
      </c>
      <c r="K3">
        <f>IF(H3="Mandante venceu por WO",D3,IF(H3="Visitante venceu por WO",F3,IF(OR(E3="",G3=""),"",IF(E3&gt;G3,D3,IF(G3&gt;E3,F3,"Empate")))))</f>
        <v/>
      </c>
    </row>
    <row r="4">
      <c r="I4">
        <f>IF(H4="Mandante venceu por WO",Config!$B$12,IF(H4="Visitante venceu por WO",Config!$B$13,IF(OR(E4="",G4=""),"",IF(E4&gt;G4,Config!$B$8,IF(E4=G4,Config!$B$9,Config!$B$10)))))</f>
        <v/>
      </c>
      <c r="J4">
        <f>IF(H4="Visitante venceu por WO",Config!$B$12,IF(H4="Mandante venceu por WO",Config!$B$13,IF(OR(E4="",G4=""),"",IF(G4&gt;E4,Config!$B$8,IF(E4=G4,Config!$B$9,Config!$B$10)))))</f>
        <v/>
      </c>
      <c r="K4">
        <f>IF(H4="Mandante venceu por WO",D4,IF(H4="Visitante venceu por WO",F4,IF(OR(E4="",G4=""),"",IF(E4&gt;G4,D4,IF(G4&gt;E4,F4,"Empate")))))</f>
        <v/>
      </c>
    </row>
    <row r="5">
      <c r="I5">
        <f>IF(H5="Mandante venceu por WO",Config!$B$12,IF(H5="Visitante venceu por WO",Config!$B$13,IF(OR(E5="",G5=""),"",IF(E5&gt;G5,Config!$B$8,IF(E5=G5,Config!$B$9,Config!$B$10)))))</f>
        <v/>
      </c>
      <c r="J5">
        <f>IF(H5="Visitante venceu por WO",Config!$B$12,IF(H5="Mandante venceu por WO",Config!$B$13,IF(OR(E5="",G5=""),"",IF(G5&gt;E5,Config!$B$8,IF(E5=G5,Config!$B$9,Config!$B$10)))))</f>
        <v/>
      </c>
      <c r="K5">
        <f>IF(H5="Mandante venceu por WO",D5,IF(H5="Visitante venceu por WO",F5,IF(OR(E5="",G5=""),"",IF(E5&gt;G5,D5,IF(G5&gt;E5,F5,"Empate")))))</f>
        <v/>
      </c>
    </row>
    <row r="6">
      <c r="I6">
        <f>IF(H6="Mandante venceu por WO",Config!$B$12,IF(H6="Visitante venceu por WO",Config!$B$13,IF(OR(E6="",G6=""),"",IF(E6&gt;G6,Config!$B$8,IF(E6=G6,Config!$B$9,Config!$B$10)))))</f>
        <v/>
      </c>
      <c r="J6">
        <f>IF(H6="Visitante venceu por WO",Config!$B$12,IF(H6="Mandante venceu por WO",Config!$B$13,IF(OR(E6="",G6=""),"",IF(G6&gt;E6,Config!$B$8,IF(E6=G6,Config!$B$9,Config!$B$10)))))</f>
        <v/>
      </c>
      <c r="K6">
        <f>IF(H6="Mandante venceu por WO",D6,IF(H6="Visitante venceu por WO",F6,IF(OR(E6="",G6=""),"",IF(E6&gt;G6,D6,IF(G6&gt;E6,F6,"Empate")))))</f>
        <v/>
      </c>
    </row>
    <row r="7">
      <c r="I7">
        <f>IF(H7="Mandante venceu por WO",Config!$B$12,IF(H7="Visitante venceu por WO",Config!$B$13,IF(OR(E7="",G7=""),"",IF(E7&gt;G7,Config!$B$8,IF(E7=G7,Config!$B$9,Config!$B$10)))))</f>
        <v/>
      </c>
      <c r="J7">
        <f>IF(H7="Visitante venceu por WO",Config!$B$12,IF(H7="Mandante venceu por WO",Config!$B$13,IF(OR(E7="",G7=""),"",IF(G7&gt;E7,Config!$B$8,IF(E7=G7,Config!$B$9,Config!$B$10)))))</f>
        <v/>
      </c>
      <c r="K7">
        <f>IF(H7="Mandante venceu por WO",D7,IF(H7="Visitante venceu por WO",F7,IF(OR(E7="",G7=""),"",IF(E7&gt;G7,D7,IF(G7&gt;E7,F7,"Empate")))))</f>
        <v/>
      </c>
    </row>
    <row r="8">
      <c r="I8">
        <f>IF(H8="Mandante venceu por WO",Config!$B$12,IF(H8="Visitante venceu por WO",Config!$B$13,IF(OR(E8="",G8=""),"",IF(E8&gt;G8,Config!$B$8,IF(E8=G8,Config!$B$9,Config!$B$10)))))</f>
        <v/>
      </c>
      <c r="J8">
        <f>IF(H8="Visitante venceu por WO",Config!$B$12,IF(H8="Mandante venceu por WO",Config!$B$13,IF(OR(E8="",G8=""),"",IF(G8&gt;E8,Config!$B$8,IF(E8=G8,Config!$B$9,Config!$B$10)))))</f>
        <v/>
      </c>
      <c r="K8">
        <f>IF(H8="Mandante venceu por WO",D8,IF(H8="Visitante venceu por WO",F8,IF(OR(E8="",G8=""),"",IF(E8&gt;G8,D8,IF(G8&gt;E8,F8,"Empate")))))</f>
        <v/>
      </c>
    </row>
    <row r="9">
      <c r="I9">
        <f>IF(H9="Mandante venceu por WO",Config!$B$12,IF(H9="Visitante venceu por WO",Config!$B$13,IF(OR(E9="",G9=""),"",IF(E9&gt;G9,Config!$B$8,IF(E9=G9,Config!$B$9,Config!$B$10)))))</f>
        <v/>
      </c>
      <c r="J9">
        <f>IF(H9="Visitante venceu por WO",Config!$B$12,IF(H9="Mandante venceu por WO",Config!$B$13,IF(OR(E9="",G9=""),"",IF(G9&gt;E9,Config!$B$8,IF(E9=G9,Config!$B$9,Config!$B$10)))))</f>
        <v/>
      </c>
      <c r="K9">
        <f>IF(H9="Mandante venceu por WO",D9,IF(H9="Visitante venceu por WO",F9,IF(OR(E9="",G9=""),"",IF(E9&gt;G9,D9,IF(G9&gt;E9,F9,"Empate")))))</f>
        <v/>
      </c>
    </row>
    <row r="10">
      <c r="I10">
        <f>IF(H10="Mandante venceu por WO",Config!$B$12,IF(H10="Visitante venceu por WO",Config!$B$13,IF(OR(E10="",G10=""),"",IF(E10&gt;G10,Config!$B$8,IF(E10=G10,Config!$B$9,Config!$B$10)))))</f>
        <v/>
      </c>
      <c r="J10">
        <f>IF(H10="Visitante venceu por WO",Config!$B$12,IF(H10="Mandante venceu por WO",Config!$B$13,IF(OR(E10="",G10=""),"",IF(G10&gt;E10,Config!$B$8,IF(E10=G10,Config!$B$9,Config!$B$10)))))</f>
        <v/>
      </c>
      <c r="K10">
        <f>IF(H10="Mandante venceu por WO",D10,IF(H10="Visitante venceu por WO",F10,IF(OR(E10="",G10=""),"",IF(E10&gt;G10,D10,IF(G10&gt;E10,F10,"Empate")))))</f>
        <v/>
      </c>
    </row>
    <row r="11">
      <c r="I11">
        <f>IF(H11="Mandante venceu por WO",Config!$B$12,IF(H11="Visitante venceu por WO",Config!$B$13,IF(OR(E11="",G11=""),"",IF(E11&gt;G11,Config!$B$8,IF(E11=G11,Config!$B$9,Config!$B$10)))))</f>
        <v/>
      </c>
      <c r="J11">
        <f>IF(H11="Visitante venceu por WO",Config!$B$12,IF(H11="Mandante venceu por WO",Config!$B$13,IF(OR(E11="",G11=""),"",IF(G11&gt;E11,Config!$B$8,IF(E11=G11,Config!$B$9,Config!$B$10)))))</f>
        <v/>
      </c>
      <c r="K11">
        <f>IF(H11="Mandante venceu por WO",D11,IF(H11="Visitante venceu por WO",F11,IF(OR(E11="",G11=""),"",IF(E11&gt;G11,D11,IF(G11&gt;E11,F11,"Empate")))))</f>
        <v/>
      </c>
    </row>
    <row r="12">
      <c r="I12">
        <f>IF(H12="Mandante venceu por WO",Config!$B$12,IF(H12="Visitante venceu por WO",Config!$B$13,IF(OR(E12="",G12=""),"",IF(E12&gt;G12,Config!$B$8,IF(E12=G12,Config!$B$9,Config!$B$10)))))</f>
        <v/>
      </c>
      <c r="J12">
        <f>IF(H12="Visitante venceu por WO",Config!$B$12,IF(H12="Mandante venceu por WO",Config!$B$13,IF(OR(E12="",G12=""),"",IF(G12&gt;E12,Config!$B$8,IF(E12=G12,Config!$B$9,Config!$B$10)))))</f>
        <v/>
      </c>
      <c r="K12">
        <f>IF(H12="Mandante venceu por WO",D12,IF(H12="Visitante venceu por WO",F12,IF(OR(E12="",G12=""),"",IF(E12&gt;G12,D12,IF(G12&gt;E12,F12,"Empate")))))</f>
        <v/>
      </c>
    </row>
    <row r="13">
      <c r="I13">
        <f>IF(H13="Mandante venceu por WO",Config!$B$12,IF(H13="Visitante venceu por WO",Config!$B$13,IF(OR(E13="",G13=""),"",IF(E13&gt;G13,Config!$B$8,IF(E13=G13,Config!$B$9,Config!$B$10)))))</f>
        <v/>
      </c>
      <c r="J13">
        <f>IF(H13="Visitante venceu por WO",Config!$B$12,IF(H13="Mandante venceu por WO",Config!$B$13,IF(OR(E13="",G13=""),"",IF(G13&gt;E13,Config!$B$8,IF(E13=G13,Config!$B$9,Config!$B$10)))))</f>
        <v/>
      </c>
      <c r="K13">
        <f>IF(H13="Mandante venceu por WO",D13,IF(H13="Visitante venceu por WO",F13,IF(OR(E13="",G13=""),"",IF(E13&gt;G13,D13,IF(G13&gt;E13,F13,"Empate")))))</f>
        <v/>
      </c>
    </row>
    <row r="14">
      <c r="I14">
        <f>IF(H14="Mandante venceu por WO",Config!$B$12,IF(H14="Visitante venceu por WO",Config!$B$13,IF(OR(E14="",G14=""),"",IF(E14&gt;G14,Config!$B$8,IF(E14=G14,Config!$B$9,Config!$B$10)))))</f>
        <v/>
      </c>
      <c r="J14">
        <f>IF(H14="Visitante venceu por WO",Config!$B$12,IF(H14="Mandante venceu por WO",Config!$B$13,IF(OR(E14="",G14=""),"",IF(G14&gt;E14,Config!$B$8,IF(E14=G14,Config!$B$9,Config!$B$10)))))</f>
        <v/>
      </c>
      <c r="K14">
        <f>IF(H14="Mandante venceu por WO",D14,IF(H14="Visitante venceu por WO",F14,IF(OR(E14="",G14=""),"",IF(E14&gt;G14,D14,IF(G14&gt;E14,F14,"Empate")))))</f>
        <v/>
      </c>
    </row>
    <row r="15">
      <c r="I15">
        <f>IF(H15="Mandante venceu por WO",Config!$B$12,IF(H15="Visitante venceu por WO",Config!$B$13,IF(OR(E15="",G15=""),"",IF(E15&gt;G15,Config!$B$8,IF(E15=G15,Config!$B$9,Config!$B$10)))))</f>
        <v/>
      </c>
      <c r="J15">
        <f>IF(H15="Visitante venceu por WO",Config!$B$12,IF(H15="Mandante venceu por WO",Config!$B$13,IF(OR(E15="",G15=""),"",IF(G15&gt;E15,Config!$B$8,IF(E15=G15,Config!$B$9,Config!$B$10)))))</f>
        <v/>
      </c>
      <c r="K15">
        <f>IF(H15="Mandante venceu por WO",D15,IF(H15="Visitante venceu por WO",F15,IF(OR(E15="",G15=""),"",IF(E15&gt;G15,D15,IF(G15&gt;E15,F15,"Empate")))))</f>
        <v/>
      </c>
    </row>
    <row r="16">
      <c r="I16">
        <f>IF(H16="Mandante venceu por WO",Config!$B$12,IF(H16="Visitante venceu por WO",Config!$B$13,IF(OR(E16="",G16=""),"",IF(E16&gt;G16,Config!$B$8,IF(E16=G16,Config!$B$9,Config!$B$10)))))</f>
        <v/>
      </c>
      <c r="J16">
        <f>IF(H16="Visitante venceu por WO",Config!$B$12,IF(H16="Mandante venceu por WO",Config!$B$13,IF(OR(E16="",G16=""),"",IF(G16&gt;E16,Config!$B$8,IF(E16=G16,Config!$B$9,Config!$B$10)))))</f>
        <v/>
      </c>
      <c r="K16">
        <f>IF(H16="Mandante venceu por WO",D16,IF(H16="Visitante venceu por WO",F16,IF(OR(E16="",G16=""),"",IF(E16&gt;G16,D16,IF(G16&gt;E16,F16,"Empate")))))</f>
        <v/>
      </c>
    </row>
    <row r="17">
      <c r="I17">
        <f>IF(H17="Mandante venceu por WO",Config!$B$12,IF(H17="Visitante venceu por WO",Config!$B$13,IF(OR(E17="",G17=""),"",IF(E17&gt;G17,Config!$B$8,IF(E17=G17,Config!$B$9,Config!$B$10)))))</f>
        <v/>
      </c>
      <c r="J17">
        <f>IF(H17="Visitante venceu por WO",Config!$B$12,IF(H17="Mandante venceu por WO",Config!$B$13,IF(OR(E17="",G17=""),"",IF(G17&gt;E17,Config!$B$8,IF(E17=G17,Config!$B$9,Config!$B$10)))))</f>
        <v/>
      </c>
      <c r="K17">
        <f>IF(H17="Mandante venceu por WO",D17,IF(H17="Visitante venceu por WO",F17,IF(OR(E17="",G17=""),"",IF(E17&gt;G17,D17,IF(G17&gt;E17,F17,"Empate")))))</f>
        <v/>
      </c>
    </row>
    <row r="18">
      <c r="I18">
        <f>IF(H18="Mandante venceu por WO",Config!$B$12,IF(H18="Visitante venceu por WO",Config!$B$13,IF(OR(E18="",G18=""),"",IF(E18&gt;G18,Config!$B$8,IF(E18=G18,Config!$B$9,Config!$B$10)))))</f>
        <v/>
      </c>
      <c r="J18">
        <f>IF(H18="Visitante venceu por WO",Config!$B$12,IF(H18="Mandante venceu por WO",Config!$B$13,IF(OR(E18="",G18=""),"",IF(G18&gt;E18,Config!$B$8,IF(E18=G18,Config!$B$9,Config!$B$10)))))</f>
        <v/>
      </c>
      <c r="K18">
        <f>IF(H18="Mandante venceu por WO",D18,IF(H18="Visitante venceu por WO",F18,IF(OR(E18="",G18=""),"",IF(E18&gt;G18,D18,IF(G18&gt;E18,F18,"Empate")))))</f>
        <v/>
      </c>
    </row>
    <row r="19">
      <c r="I19">
        <f>IF(H19="Mandante venceu por WO",Config!$B$12,IF(H19="Visitante venceu por WO",Config!$B$13,IF(OR(E19="",G19=""),"",IF(E19&gt;G19,Config!$B$8,IF(E19=G19,Config!$B$9,Config!$B$10)))))</f>
        <v/>
      </c>
      <c r="J19">
        <f>IF(H19="Visitante venceu por WO",Config!$B$12,IF(H19="Mandante venceu por WO",Config!$B$13,IF(OR(E19="",G19=""),"",IF(G19&gt;E19,Config!$B$8,IF(E19=G19,Config!$B$9,Config!$B$10)))))</f>
        <v/>
      </c>
      <c r="K19">
        <f>IF(H19="Mandante venceu por WO",D19,IF(H19="Visitante venceu por WO",F19,IF(OR(E19="",G19=""),"",IF(E19&gt;G19,D19,IF(G19&gt;E19,F19,"Empate")))))</f>
        <v/>
      </c>
    </row>
    <row r="20">
      <c r="I20">
        <f>IF(H20="Mandante venceu por WO",Config!$B$12,IF(H20="Visitante venceu por WO",Config!$B$13,IF(OR(E20="",G20=""),"",IF(E20&gt;G20,Config!$B$8,IF(E20=G20,Config!$B$9,Config!$B$10)))))</f>
        <v/>
      </c>
      <c r="J20">
        <f>IF(H20="Visitante venceu por WO",Config!$B$12,IF(H20="Mandante venceu por WO",Config!$B$13,IF(OR(E20="",G20=""),"",IF(G20&gt;E20,Config!$B$8,IF(E20=G20,Config!$B$9,Config!$B$10)))))</f>
        <v/>
      </c>
      <c r="K20">
        <f>IF(H20="Mandante venceu por WO",D20,IF(H20="Visitante venceu por WO",F20,IF(OR(E20="",G20=""),"",IF(E20&gt;G20,D20,IF(G20&gt;E20,F20,"Empate")))))</f>
        <v/>
      </c>
    </row>
    <row r="21">
      <c r="I21">
        <f>IF(H21="Mandante venceu por WO",Config!$B$12,IF(H21="Visitante venceu por WO",Config!$B$13,IF(OR(E21="",G21=""),"",IF(E21&gt;G21,Config!$B$8,IF(E21=G21,Config!$B$9,Config!$B$10)))))</f>
        <v/>
      </c>
      <c r="J21">
        <f>IF(H21="Visitante venceu por WO",Config!$B$12,IF(H21="Mandante venceu por WO",Config!$B$13,IF(OR(E21="",G21=""),"",IF(G21&gt;E21,Config!$B$8,IF(E21=G21,Config!$B$9,Config!$B$10)))))</f>
        <v/>
      </c>
      <c r="K21">
        <f>IF(H21="Mandante venceu por WO",D21,IF(H21="Visitante venceu por WO",F21,IF(OR(E21="",G21=""),"",IF(E21&gt;G21,D21,IF(G21&gt;E21,F21,"Empate")))))</f>
        <v/>
      </c>
    </row>
    <row r="22">
      <c r="I22">
        <f>IF(H22="Mandante venceu por WO",Config!$B$12,IF(H22="Visitante venceu por WO",Config!$B$13,IF(OR(E22="",G22=""),"",IF(E22&gt;G22,Config!$B$8,IF(E22=G22,Config!$B$9,Config!$B$10)))))</f>
        <v/>
      </c>
      <c r="J22">
        <f>IF(H22="Visitante venceu por WO",Config!$B$12,IF(H22="Mandante venceu por WO",Config!$B$13,IF(OR(E22="",G22=""),"",IF(G22&gt;E22,Config!$B$8,IF(E22=G22,Config!$B$9,Config!$B$10)))))</f>
        <v/>
      </c>
      <c r="K22">
        <f>IF(H22="Mandante venceu por WO",D22,IF(H22="Visitante venceu por WO",F22,IF(OR(E22="",G22=""),"",IF(E22&gt;G22,D22,IF(G22&gt;E22,F22,"Empate")))))</f>
        <v/>
      </c>
    </row>
    <row r="23">
      <c r="I23">
        <f>IF(H23="Mandante venceu por WO",Config!$B$12,IF(H23="Visitante venceu por WO",Config!$B$13,IF(OR(E23="",G23=""),"",IF(E23&gt;G23,Config!$B$8,IF(E23=G23,Config!$B$9,Config!$B$10)))))</f>
        <v/>
      </c>
      <c r="J23">
        <f>IF(H23="Visitante venceu por WO",Config!$B$12,IF(H23="Mandante venceu por WO",Config!$B$13,IF(OR(E23="",G23=""),"",IF(G23&gt;E23,Config!$B$8,IF(E23=G23,Config!$B$9,Config!$B$10)))))</f>
        <v/>
      </c>
      <c r="K23">
        <f>IF(H23="Mandante venceu por WO",D23,IF(H23="Visitante venceu por WO",F23,IF(OR(E23="",G23=""),"",IF(E23&gt;G23,D23,IF(G23&gt;E23,F23,"Empate")))))</f>
        <v/>
      </c>
    </row>
    <row r="24">
      <c r="I24">
        <f>IF(H24="Mandante venceu por WO",Config!$B$12,IF(H24="Visitante venceu por WO",Config!$B$13,IF(OR(E24="",G24=""),"",IF(E24&gt;G24,Config!$B$8,IF(E24=G24,Config!$B$9,Config!$B$10)))))</f>
        <v/>
      </c>
      <c r="J24">
        <f>IF(H24="Visitante venceu por WO",Config!$B$12,IF(H24="Mandante venceu por WO",Config!$B$13,IF(OR(E24="",G24=""),"",IF(G24&gt;E24,Config!$B$8,IF(E24=G24,Config!$B$9,Config!$B$10)))))</f>
        <v/>
      </c>
      <c r="K24">
        <f>IF(H24="Mandante venceu por WO",D24,IF(H24="Visitante venceu por WO",F24,IF(OR(E24="",G24=""),"",IF(E24&gt;G24,D24,IF(G24&gt;E24,F24,"Empate")))))</f>
        <v/>
      </c>
    </row>
    <row r="25">
      <c r="I25">
        <f>IF(H25="Mandante venceu por WO",Config!$B$12,IF(H25="Visitante venceu por WO",Config!$B$13,IF(OR(E25="",G25=""),"",IF(E25&gt;G25,Config!$B$8,IF(E25=G25,Config!$B$9,Config!$B$10)))))</f>
        <v/>
      </c>
      <c r="J25">
        <f>IF(H25="Visitante venceu por WO",Config!$B$12,IF(H25="Mandante venceu por WO",Config!$B$13,IF(OR(E25="",G25=""),"",IF(G25&gt;E25,Config!$B$8,IF(E25=G25,Config!$B$9,Config!$B$10)))))</f>
        <v/>
      </c>
      <c r="K25">
        <f>IF(H25="Mandante venceu por WO",D25,IF(H25="Visitante venceu por WO",F25,IF(OR(E25="",G25=""),"",IF(E25&gt;G25,D25,IF(G25&gt;E25,F25,"Empate")))))</f>
        <v/>
      </c>
    </row>
    <row r="26">
      <c r="I26">
        <f>IF(H26="Mandante venceu por WO",Config!$B$12,IF(H26="Visitante venceu por WO",Config!$B$13,IF(OR(E26="",G26=""),"",IF(E26&gt;G26,Config!$B$8,IF(E26=G26,Config!$B$9,Config!$B$10)))))</f>
        <v/>
      </c>
      <c r="J26">
        <f>IF(H26="Visitante venceu por WO",Config!$B$12,IF(H26="Mandante venceu por WO",Config!$B$13,IF(OR(E26="",G26=""),"",IF(G26&gt;E26,Config!$B$8,IF(E26=G26,Config!$B$9,Config!$B$10)))))</f>
        <v/>
      </c>
      <c r="K26">
        <f>IF(H26="Mandante venceu por WO",D26,IF(H26="Visitante venceu por WO",F26,IF(OR(E26="",G26=""),"",IF(E26&gt;G26,D26,IF(G26&gt;E26,F26,"Empate")))))</f>
        <v/>
      </c>
    </row>
    <row r="27">
      <c r="I27">
        <f>IF(H27="Mandante venceu por WO",Config!$B$12,IF(H27="Visitante venceu por WO",Config!$B$13,IF(OR(E27="",G27=""),"",IF(E27&gt;G27,Config!$B$8,IF(E27=G27,Config!$B$9,Config!$B$10)))))</f>
        <v/>
      </c>
      <c r="J27">
        <f>IF(H27="Visitante venceu por WO",Config!$B$12,IF(H27="Mandante venceu por WO",Config!$B$13,IF(OR(E27="",G27=""),"",IF(G27&gt;E27,Config!$B$8,IF(E27=G27,Config!$B$9,Config!$B$10)))))</f>
        <v/>
      </c>
      <c r="K27">
        <f>IF(H27="Mandante venceu por WO",D27,IF(H27="Visitante venceu por WO",F27,IF(OR(E27="",G27=""),"",IF(E27&gt;G27,D27,IF(G27&gt;E27,F27,"Empate")))))</f>
        <v/>
      </c>
    </row>
    <row r="28">
      <c r="I28">
        <f>IF(H28="Mandante venceu por WO",Config!$B$12,IF(H28="Visitante venceu por WO",Config!$B$13,IF(OR(E28="",G28=""),"",IF(E28&gt;G28,Config!$B$8,IF(E28=G28,Config!$B$9,Config!$B$10)))))</f>
        <v/>
      </c>
      <c r="J28">
        <f>IF(H28="Visitante venceu por WO",Config!$B$12,IF(H28="Mandante venceu por WO",Config!$B$13,IF(OR(E28="",G28=""),"",IF(G28&gt;E28,Config!$B$8,IF(E28=G28,Config!$B$9,Config!$B$10)))))</f>
        <v/>
      </c>
      <c r="K28">
        <f>IF(H28="Mandante venceu por WO",D28,IF(H28="Visitante venceu por WO",F28,IF(OR(E28="",G28=""),"",IF(E28&gt;G28,D28,IF(G28&gt;E28,F28,"Empate")))))</f>
        <v/>
      </c>
    </row>
    <row r="29">
      <c r="I29">
        <f>IF(H29="Mandante venceu por WO",Config!$B$12,IF(H29="Visitante venceu por WO",Config!$B$13,IF(OR(E29="",G29=""),"",IF(E29&gt;G29,Config!$B$8,IF(E29=G29,Config!$B$9,Config!$B$10)))))</f>
        <v/>
      </c>
      <c r="J29">
        <f>IF(H29="Visitante venceu por WO",Config!$B$12,IF(H29="Mandante venceu por WO",Config!$B$13,IF(OR(E29="",G29=""),"",IF(G29&gt;E29,Config!$B$8,IF(E29=G29,Config!$B$9,Config!$B$10)))))</f>
        <v/>
      </c>
      <c r="K29">
        <f>IF(H29="Mandante venceu por WO",D29,IF(H29="Visitante venceu por WO",F29,IF(OR(E29="",G29=""),"",IF(E29&gt;G29,D29,IF(G29&gt;E29,F29,"Empate")))))</f>
        <v/>
      </c>
    </row>
    <row r="30">
      <c r="I30">
        <f>IF(H30="Mandante venceu por WO",Config!$B$12,IF(H30="Visitante venceu por WO",Config!$B$13,IF(OR(E30="",G30=""),"",IF(E30&gt;G30,Config!$B$8,IF(E30=G30,Config!$B$9,Config!$B$10)))))</f>
        <v/>
      </c>
      <c r="J30">
        <f>IF(H30="Visitante venceu por WO",Config!$B$12,IF(H30="Mandante venceu por WO",Config!$B$13,IF(OR(E30="",G30=""),"",IF(G30&gt;E30,Config!$B$8,IF(E30=G30,Config!$B$9,Config!$B$10)))))</f>
        <v/>
      </c>
      <c r="K30">
        <f>IF(H30="Mandante venceu por WO",D30,IF(H30="Visitante venceu por WO",F30,IF(OR(E30="",G30=""),"",IF(E30&gt;G30,D30,IF(G30&gt;E30,F30,"Empate")))))</f>
        <v/>
      </c>
    </row>
    <row r="31">
      <c r="I31">
        <f>IF(H31="Mandante venceu por WO",Config!$B$12,IF(H31="Visitante venceu por WO",Config!$B$13,IF(OR(E31="",G31=""),"",IF(E31&gt;G31,Config!$B$8,IF(E31=G31,Config!$B$9,Config!$B$10)))))</f>
        <v/>
      </c>
      <c r="J31">
        <f>IF(H31="Visitante venceu por WO",Config!$B$12,IF(H31="Mandante venceu por WO",Config!$B$13,IF(OR(E31="",G31=""),"",IF(G31&gt;E31,Config!$B$8,IF(E31=G31,Config!$B$9,Config!$B$10)))))</f>
        <v/>
      </c>
      <c r="K31">
        <f>IF(H31="Mandante venceu por WO",D31,IF(H31="Visitante venceu por WO",F31,IF(OR(E31="",G31=""),"",IF(E31&gt;G31,D31,IF(G31&gt;E31,F31,"Empate")))))</f>
        <v/>
      </c>
    </row>
    <row r="32">
      <c r="I32">
        <f>IF(H32="Mandante venceu por WO",Config!$B$12,IF(H32="Visitante venceu por WO",Config!$B$13,IF(OR(E32="",G32=""),"",IF(E32&gt;G32,Config!$B$8,IF(E32=G32,Config!$B$9,Config!$B$10)))))</f>
        <v/>
      </c>
      <c r="J32">
        <f>IF(H32="Visitante venceu por WO",Config!$B$12,IF(H32="Mandante venceu por WO",Config!$B$13,IF(OR(E32="",G32=""),"",IF(G32&gt;E32,Config!$B$8,IF(E32=G32,Config!$B$9,Config!$B$10)))))</f>
        <v/>
      </c>
      <c r="K32">
        <f>IF(H32="Mandante venceu por WO",D32,IF(H32="Visitante venceu por WO",F32,IF(OR(E32="",G32=""),"",IF(E32&gt;G32,D32,IF(G32&gt;E32,F32,"Empate")))))</f>
        <v/>
      </c>
    </row>
    <row r="33">
      <c r="I33">
        <f>IF(H33="Mandante venceu por WO",Config!$B$12,IF(H33="Visitante venceu por WO",Config!$B$13,IF(OR(E33="",G33=""),"",IF(E33&gt;G33,Config!$B$8,IF(E33=G33,Config!$B$9,Config!$B$10)))))</f>
        <v/>
      </c>
      <c r="J33">
        <f>IF(H33="Visitante venceu por WO",Config!$B$12,IF(H33="Mandante venceu por WO",Config!$B$13,IF(OR(E33="",G33=""),"",IF(G33&gt;E33,Config!$B$8,IF(E33=G33,Config!$B$9,Config!$B$10)))))</f>
        <v/>
      </c>
      <c r="K33">
        <f>IF(H33="Mandante venceu por WO",D33,IF(H33="Visitante venceu por WO",F33,IF(OR(E33="",G33=""),"",IF(E33&gt;G33,D33,IF(G33&gt;E33,F33,"Empate")))))</f>
        <v/>
      </c>
    </row>
    <row r="34">
      <c r="I34">
        <f>IF(H34="Mandante venceu por WO",Config!$B$12,IF(H34="Visitante venceu por WO",Config!$B$13,IF(OR(E34="",G34=""),"",IF(E34&gt;G34,Config!$B$8,IF(E34=G34,Config!$B$9,Config!$B$10)))))</f>
        <v/>
      </c>
      <c r="J34">
        <f>IF(H34="Visitante venceu por WO",Config!$B$12,IF(H34="Mandante venceu por WO",Config!$B$13,IF(OR(E34="",G34=""),"",IF(G34&gt;E34,Config!$B$8,IF(E34=G34,Config!$B$9,Config!$B$10)))))</f>
        <v/>
      </c>
      <c r="K34">
        <f>IF(H34="Mandante venceu por WO",D34,IF(H34="Visitante venceu por WO",F34,IF(OR(E34="",G34=""),"",IF(E34&gt;G34,D34,IF(G34&gt;E34,F34,"Empate")))))</f>
        <v/>
      </c>
    </row>
    <row r="35">
      <c r="I35">
        <f>IF(H35="Mandante venceu por WO",Config!$B$12,IF(H35="Visitante venceu por WO",Config!$B$13,IF(OR(E35="",G35=""),"",IF(E35&gt;G35,Config!$B$8,IF(E35=G35,Config!$B$9,Config!$B$10)))))</f>
        <v/>
      </c>
      <c r="J35">
        <f>IF(H35="Visitante venceu por WO",Config!$B$12,IF(H35="Mandante venceu por WO",Config!$B$13,IF(OR(E35="",G35=""),"",IF(G35&gt;E35,Config!$B$8,IF(E35=G35,Config!$B$9,Config!$B$10)))))</f>
        <v/>
      </c>
      <c r="K35">
        <f>IF(H35="Mandante venceu por WO",D35,IF(H35="Visitante venceu por WO",F35,IF(OR(E35="",G35=""),"",IF(E35&gt;G35,D35,IF(G35&gt;E35,F35,"Empate")))))</f>
        <v/>
      </c>
    </row>
    <row r="36">
      <c r="I36">
        <f>IF(H36="Mandante venceu por WO",Config!$B$12,IF(H36="Visitante venceu por WO",Config!$B$13,IF(OR(E36="",G36=""),"",IF(E36&gt;G36,Config!$B$8,IF(E36=G36,Config!$B$9,Config!$B$10)))))</f>
        <v/>
      </c>
      <c r="J36">
        <f>IF(H36="Visitante venceu por WO",Config!$B$12,IF(H36="Mandante venceu por WO",Config!$B$13,IF(OR(E36="",G36=""),"",IF(G36&gt;E36,Config!$B$8,IF(E36=G36,Config!$B$9,Config!$B$10)))))</f>
        <v/>
      </c>
      <c r="K36">
        <f>IF(H36="Mandante venceu por WO",D36,IF(H36="Visitante venceu por WO",F36,IF(OR(E36="",G36=""),"",IF(E36&gt;G36,D36,IF(G36&gt;E36,F36,"Empate")))))</f>
        <v/>
      </c>
    </row>
    <row r="37">
      <c r="I37">
        <f>IF(H37="Mandante venceu por WO",Config!$B$12,IF(H37="Visitante venceu por WO",Config!$B$13,IF(OR(E37="",G37=""),"",IF(E37&gt;G37,Config!$B$8,IF(E37=G37,Config!$B$9,Config!$B$10)))))</f>
        <v/>
      </c>
      <c r="J37">
        <f>IF(H37="Visitante venceu por WO",Config!$B$12,IF(H37="Mandante venceu por WO",Config!$B$13,IF(OR(E37="",G37=""),"",IF(G37&gt;E37,Config!$B$8,IF(E37=G37,Config!$B$9,Config!$B$10)))))</f>
        <v/>
      </c>
      <c r="K37">
        <f>IF(H37="Mandante venceu por WO",D37,IF(H37="Visitante venceu por WO",F37,IF(OR(E37="",G37=""),"",IF(E37&gt;G37,D37,IF(G37&gt;E37,F37,"Empate")))))</f>
        <v/>
      </c>
    </row>
    <row r="38">
      <c r="I38">
        <f>IF(H38="Mandante venceu por WO",Config!$B$12,IF(H38="Visitante venceu por WO",Config!$B$13,IF(OR(E38="",G38=""),"",IF(E38&gt;G38,Config!$B$8,IF(E38=G38,Config!$B$9,Config!$B$10)))))</f>
        <v/>
      </c>
      <c r="J38">
        <f>IF(H38="Visitante venceu por WO",Config!$B$12,IF(H38="Mandante venceu por WO",Config!$B$13,IF(OR(E38="",G38=""),"",IF(G38&gt;E38,Config!$B$8,IF(E38=G38,Config!$B$9,Config!$B$10)))))</f>
        <v/>
      </c>
      <c r="K38">
        <f>IF(H38="Mandante venceu por WO",D38,IF(H38="Visitante venceu por WO",F38,IF(OR(E38="",G38=""),"",IF(E38&gt;G38,D38,IF(G38&gt;E38,F38,"Empate")))))</f>
        <v/>
      </c>
    </row>
    <row r="39">
      <c r="I39">
        <f>IF(H39="Mandante venceu por WO",Config!$B$12,IF(H39="Visitante venceu por WO",Config!$B$13,IF(OR(E39="",G39=""),"",IF(E39&gt;G39,Config!$B$8,IF(E39=G39,Config!$B$9,Config!$B$10)))))</f>
        <v/>
      </c>
      <c r="J39">
        <f>IF(H39="Visitante venceu por WO",Config!$B$12,IF(H39="Mandante venceu por WO",Config!$B$13,IF(OR(E39="",G39=""),"",IF(G39&gt;E39,Config!$B$8,IF(E39=G39,Config!$B$9,Config!$B$10)))))</f>
        <v/>
      </c>
      <c r="K39">
        <f>IF(H39="Mandante venceu por WO",D39,IF(H39="Visitante venceu por WO",F39,IF(OR(E39="",G39=""),"",IF(E39&gt;G39,D39,IF(G39&gt;E39,F39,"Empate")))))</f>
        <v/>
      </c>
    </row>
    <row r="40">
      <c r="I40">
        <f>IF(H40="Mandante venceu por WO",Config!$B$12,IF(H40="Visitante venceu por WO",Config!$B$13,IF(OR(E40="",G40=""),"",IF(E40&gt;G40,Config!$B$8,IF(E40=G40,Config!$B$9,Config!$B$10)))))</f>
        <v/>
      </c>
      <c r="J40">
        <f>IF(H40="Visitante venceu por WO",Config!$B$12,IF(H40="Mandante venceu por WO",Config!$B$13,IF(OR(E40="",G40=""),"",IF(G40&gt;E40,Config!$B$8,IF(E40=G40,Config!$B$9,Config!$B$10)))))</f>
        <v/>
      </c>
      <c r="K40">
        <f>IF(H40="Mandante venceu por WO",D40,IF(H40="Visitante venceu por WO",F40,IF(OR(E40="",G40=""),"",IF(E40&gt;G40,D40,IF(G40&gt;E40,F40,"Empate")))))</f>
        <v/>
      </c>
    </row>
    <row r="41">
      <c r="I41">
        <f>IF(H41="Mandante venceu por WO",Config!$B$12,IF(H41="Visitante venceu por WO",Config!$B$13,IF(OR(E41="",G41=""),"",IF(E41&gt;G41,Config!$B$8,IF(E41=G41,Config!$B$9,Config!$B$10)))))</f>
        <v/>
      </c>
      <c r="J41">
        <f>IF(H41="Visitante venceu por WO",Config!$B$12,IF(H41="Mandante venceu por WO",Config!$B$13,IF(OR(E41="",G41=""),"",IF(G41&gt;E41,Config!$B$8,IF(E41=G41,Config!$B$9,Config!$B$10)))))</f>
        <v/>
      </c>
      <c r="K41">
        <f>IF(H41="Mandante venceu por WO",D41,IF(H41="Visitante venceu por WO",F41,IF(OR(E41="",G41=""),"",IF(E41&gt;G41,D41,IF(G41&gt;E41,F41,"Empate")))))</f>
        <v/>
      </c>
    </row>
    <row r="42">
      <c r="I42">
        <f>IF(H42="Mandante venceu por WO",Config!$B$12,IF(H42="Visitante venceu por WO",Config!$B$13,IF(OR(E42="",G42=""),"",IF(E42&gt;G42,Config!$B$8,IF(E42=G42,Config!$B$9,Config!$B$10)))))</f>
        <v/>
      </c>
      <c r="J42">
        <f>IF(H42="Visitante venceu por WO",Config!$B$12,IF(H42="Mandante venceu por WO",Config!$B$13,IF(OR(E42="",G42=""),"",IF(G42&gt;E42,Config!$B$8,IF(E42=G42,Config!$B$9,Config!$B$10)))))</f>
        <v/>
      </c>
      <c r="K42">
        <f>IF(H42="Mandante venceu por WO",D42,IF(H42="Visitante venceu por WO",F42,IF(OR(E42="",G42=""),"",IF(E42&gt;G42,D42,IF(G42&gt;E42,F42,"Empate")))))</f>
        <v/>
      </c>
    </row>
    <row r="43">
      <c r="I43">
        <f>IF(H43="Mandante venceu por WO",Config!$B$12,IF(H43="Visitante venceu por WO",Config!$B$13,IF(OR(E43="",G43=""),"",IF(E43&gt;G43,Config!$B$8,IF(E43=G43,Config!$B$9,Config!$B$10)))))</f>
        <v/>
      </c>
      <c r="J43">
        <f>IF(H43="Visitante venceu por WO",Config!$B$12,IF(H43="Mandante venceu por WO",Config!$B$13,IF(OR(E43="",G43=""),"",IF(G43&gt;E43,Config!$B$8,IF(E43=G43,Config!$B$9,Config!$B$10)))))</f>
        <v/>
      </c>
      <c r="K43">
        <f>IF(H43="Mandante venceu por WO",D43,IF(H43="Visitante venceu por WO",F43,IF(OR(E43="",G43=""),"",IF(E43&gt;G43,D43,IF(G43&gt;E43,F43,"Empate")))))</f>
        <v/>
      </c>
    </row>
    <row r="44">
      <c r="I44">
        <f>IF(H44="Mandante venceu por WO",Config!$B$12,IF(H44="Visitante venceu por WO",Config!$B$13,IF(OR(E44="",G44=""),"",IF(E44&gt;G44,Config!$B$8,IF(E44=G44,Config!$B$9,Config!$B$10)))))</f>
        <v/>
      </c>
      <c r="J44">
        <f>IF(H44="Visitante venceu por WO",Config!$B$12,IF(H44="Mandante venceu por WO",Config!$B$13,IF(OR(E44="",G44=""),"",IF(G44&gt;E44,Config!$B$8,IF(E44=G44,Config!$B$9,Config!$B$10)))))</f>
        <v/>
      </c>
      <c r="K44">
        <f>IF(H44="Mandante venceu por WO",D44,IF(H44="Visitante venceu por WO",F44,IF(OR(E44="",G44=""),"",IF(E44&gt;G44,D44,IF(G44&gt;E44,F44,"Empate")))))</f>
        <v/>
      </c>
    </row>
    <row r="45">
      <c r="I45">
        <f>IF(H45="Mandante venceu por WO",Config!$B$12,IF(H45="Visitante venceu por WO",Config!$B$13,IF(OR(E45="",G45=""),"",IF(E45&gt;G45,Config!$B$8,IF(E45=G45,Config!$B$9,Config!$B$10)))))</f>
        <v/>
      </c>
      <c r="J45">
        <f>IF(H45="Visitante venceu por WO",Config!$B$12,IF(H45="Mandante venceu por WO",Config!$B$13,IF(OR(E45="",G45=""),"",IF(G45&gt;E45,Config!$B$8,IF(E45=G45,Config!$B$9,Config!$B$10)))))</f>
        <v/>
      </c>
      <c r="K45">
        <f>IF(H45="Mandante venceu por WO",D45,IF(H45="Visitante venceu por WO",F45,IF(OR(E45="",G45=""),"",IF(E45&gt;G45,D45,IF(G45&gt;E45,F45,"Empate")))))</f>
        <v/>
      </c>
    </row>
    <row r="46">
      <c r="I46">
        <f>IF(H46="Mandante venceu por WO",Config!$B$12,IF(H46="Visitante venceu por WO",Config!$B$13,IF(OR(E46="",G46=""),"",IF(E46&gt;G46,Config!$B$8,IF(E46=G46,Config!$B$9,Config!$B$10)))))</f>
        <v/>
      </c>
      <c r="J46">
        <f>IF(H46="Visitante venceu por WO",Config!$B$12,IF(H46="Mandante venceu por WO",Config!$B$13,IF(OR(E46="",G46=""),"",IF(G46&gt;E46,Config!$B$8,IF(E46=G46,Config!$B$9,Config!$B$10)))))</f>
        <v/>
      </c>
      <c r="K46">
        <f>IF(H46="Mandante venceu por WO",D46,IF(H46="Visitante venceu por WO",F46,IF(OR(E46="",G46=""),"",IF(E46&gt;G46,D46,IF(G46&gt;E46,F46,"Empate")))))</f>
        <v/>
      </c>
    </row>
    <row r="47">
      <c r="I47">
        <f>IF(H47="Mandante venceu por WO",Config!$B$12,IF(H47="Visitante venceu por WO",Config!$B$13,IF(OR(E47="",G47=""),"",IF(E47&gt;G47,Config!$B$8,IF(E47=G47,Config!$B$9,Config!$B$10)))))</f>
        <v/>
      </c>
      <c r="J47">
        <f>IF(H47="Visitante venceu por WO",Config!$B$12,IF(H47="Mandante venceu por WO",Config!$B$13,IF(OR(E47="",G47=""),"",IF(G47&gt;E47,Config!$B$8,IF(E47=G47,Config!$B$9,Config!$B$10)))))</f>
        <v/>
      </c>
      <c r="K47">
        <f>IF(H47="Mandante venceu por WO",D47,IF(H47="Visitante venceu por WO",F47,IF(OR(E47="",G47=""),"",IF(E47&gt;G47,D47,IF(G47&gt;E47,F47,"Empate")))))</f>
        <v/>
      </c>
    </row>
    <row r="48">
      <c r="I48">
        <f>IF(H48="Mandante venceu por WO",Config!$B$12,IF(H48="Visitante venceu por WO",Config!$B$13,IF(OR(E48="",G48=""),"",IF(E48&gt;G48,Config!$B$8,IF(E48=G48,Config!$B$9,Config!$B$10)))))</f>
        <v/>
      </c>
      <c r="J48">
        <f>IF(H48="Visitante venceu por WO",Config!$B$12,IF(H48="Mandante venceu por WO",Config!$B$13,IF(OR(E48="",G48=""),"",IF(G48&gt;E48,Config!$B$8,IF(E48=G48,Config!$B$9,Config!$B$10)))))</f>
        <v/>
      </c>
      <c r="K48">
        <f>IF(H48="Mandante venceu por WO",D48,IF(H48="Visitante venceu por WO",F48,IF(OR(E48="",G48=""),"",IF(E48&gt;G48,D48,IF(G48&gt;E48,F48,"Empate")))))</f>
        <v/>
      </c>
    </row>
    <row r="49">
      <c r="I49">
        <f>IF(H49="Mandante venceu por WO",Config!$B$12,IF(H49="Visitante venceu por WO",Config!$B$13,IF(OR(E49="",G49=""),"",IF(E49&gt;G49,Config!$B$8,IF(E49=G49,Config!$B$9,Config!$B$10)))))</f>
        <v/>
      </c>
      <c r="J49">
        <f>IF(H49="Visitante venceu por WO",Config!$B$12,IF(H49="Mandante venceu por WO",Config!$B$13,IF(OR(E49="",G49=""),"",IF(G49&gt;E49,Config!$B$8,IF(E49=G49,Config!$B$9,Config!$B$10)))))</f>
        <v/>
      </c>
      <c r="K49">
        <f>IF(H49="Mandante venceu por WO",D49,IF(H49="Visitante venceu por WO",F49,IF(OR(E49="",G49=""),"",IF(E49&gt;G49,D49,IF(G49&gt;E49,F49,"Empate")))))</f>
        <v/>
      </c>
    </row>
    <row r="50">
      <c r="I50">
        <f>IF(H50="Mandante venceu por WO",Config!$B$12,IF(H50="Visitante venceu por WO",Config!$B$13,IF(OR(E50="",G50=""),"",IF(E50&gt;G50,Config!$B$8,IF(E50=G50,Config!$B$9,Config!$B$10)))))</f>
        <v/>
      </c>
      <c r="J50">
        <f>IF(H50="Visitante venceu por WO",Config!$B$12,IF(H50="Mandante venceu por WO",Config!$B$13,IF(OR(E50="",G50=""),"",IF(G50&gt;E50,Config!$B$8,IF(E50=G50,Config!$B$9,Config!$B$10)))))</f>
        <v/>
      </c>
      <c r="K50">
        <f>IF(H50="Mandante venceu por WO",D50,IF(H50="Visitante venceu por WO",F50,IF(OR(E50="",G50=""),"",IF(E50&gt;G50,D50,IF(G50&gt;E50,F50,"Empate")))))</f>
        <v/>
      </c>
    </row>
    <row r="51">
      <c r="I51">
        <f>IF(H51="Mandante venceu por WO",Config!$B$12,IF(H51="Visitante venceu por WO",Config!$B$13,IF(OR(E51="",G51=""),"",IF(E51&gt;G51,Config!$B$8,IF(E51=G51,Config!$B$9,Config!$B$10)))))</f>
        <v/>
      </c>
      <c r="J51">
        <f>IF(H51="Visitante venceu por WO",Config!$B$12,IF(H51="Mandante venceu por WO",Config!$B$13,IF(OR(E51="",G51=""),"",IF(G51&gt;E51,Config!$B$8,IF(E51=G51,Config!$B$9,Config!$B$10)))))</f>
        <v/>
      </c>
      <c r="K51">
        <f>IF(H51="Mandante venceu por WO",D51,IF(H51="Visitante venceu por WO",F51,IF(OR(E51="",G51=""),"",IF(E51&gt;G51,D51,IF(G51&gt;E51,F51,"Empate")))))</f>
        <v/>
      </c>
    </row>
    <row r="52">
      <c r="I52">
        <f>IF(H52="Mandante venceu por WO",Config!$B$12,IF(H52="Visitante venceu por WO",Config!$B$13,IF(OR(E52="",G52=""),"",IF(E52&gt;G52,Config!$B$8,IF(E52=G52,Config!$B$9,Config!$B$10)))))</f>
        <v/>
      </c>
      <c r="J52">
        <f>IF(H52="Visitante venceu por WO",Config!$B$12,IF(H52="Mandante venceu por WO",Config!$B$13,IF(OR(E52="",G52=""),"",IF(G52&gt;E52,Config!$B$8,IF(E52=G52,Config!$B$9,Config!$B$10)))))</f>
        <v/>
      </c>
      <c r="K52">
        <f>IF(H52="Mandante venceu por WO",D52,IF(H52="Visitante venceu por WO",F52,IF(OR(E52="",G52=""),"",IF(E52&gt;G52,D52,IF(G52&gt;E52,F52,"Empate")))))</f>
        <v/>
      </c>
    </row>
    <row r="53">
      <c r="I53">
        <f>IF(H53="Mandante venceu por WO",Config!$B$12,IF(H53="Visitante venceu por WO",Config!$B$13,IF(OR(E53="",G53=""),"",IF(E53&gt;G53,Config!$B$8,IF(E53=G53,Config!$B$9,Config!$B$10)))))</f>
        <v/>
      </c>
      <c r="J53">
        <f>IF(H53="Visitante venceu por WO",Config!$B$12,IF(H53="Mandante venceu por WO",Config!$B$13,IF(OR(E53="",G53=""),"",IF(G53&gt;E53,Config!$B$8,IF(E53=G53,Config!$B$9,Config!$B$10)))))</f>
        <v/>
      </c>
      <c r="K53">
        <f>IF(H53="Mandante venceu por WO",D53,IF(H53="Visitante venceu por WO",F53,IF(OR(E53="",G53=""),"",IF(E53&gt;G53,D53,IF(G53&gt;E53,F53,"Empate")))))</f>
        <v/>
      </c>
    </row>
    <row r="54">
      <c r="I54">
        <f>IF(H54="Mandante venceu por WO",Config!$B$12,IF(H54="Visitante venceu por WO",Config!$B$13,IF(OR(E54="",G54=""),"",IF(E54&gt;G54,Config!$B$8,IF(E54=G54,Config!$B$9,Config!$B$10)))))</f>
        <v/>
      </c>
      <c r="J54">
        <f>IF(H54="Visitante venceu por WO",Config!$B$12,IF(H54="Mandante venceu por WO",Config!$B$13,IF(OR(E54="",G54=""),"",IF(G54&gt;E54,Config!$B$8,IF(E54=G54,Config!$B$9,Config!$B$10)))))</f>
        <v/>
      </c>
      <c r="K54">
        <f>IF(H54="Mandante venceu por WO",D54,IF(H54="Visitante venceu por WO",F54,IF(OR(E54="",G54=""),"",IF(E54&gt;G54,D54,IF(G54&gt;E54,F54,"Empate")))))</f>
        <v/>
      </c>
    </row>
    <row r="55">
      <c r="I55">
        <f>IF(H55="Mandante venceu por WO",Config!$B$12,IF(H55="Visitante venceu por WO",Config!$B$13,IF(OR(E55="",G55=""),"",IF(E55&gt;G55,Config!$B$8,IF(E55=G55,Config!$B$9,Config!$B$10)))))</f>
        <v/>
      </c>
      <c r="J55">
        <f>IF(H55="Visitante venceu por WO",Config!$B$12,IF(H55="Mandante venceu por WO",Config!$B$13,IF(OR(E55="",G55=""),"",IF(G55&gt;E55,Config!$B$8,IF(E55=G55,Config!$B$9,Config!$B$10)))))</f>
        <v/>
      </c>
      <c r="K55">
        <f>IF(H55="Mandante venceu por WO",D55,IF(H55="Visitante venceu por WO",F55,IF(OR(E55="",G55=""),"",IF(E55&gt;G55,D55,IF(G55&gt;E55,F55,"Empate")))))</f>
        <v/>
      </c>
    </row>
    <row r="56">
      <c r="I56">
        <f>IF(H56="Mandante venceu por WO",Config!$B$12,IF(H56="Visitante venceu por WO",Config!$B$13,IF(OR(E56="",G56=""),"",IF(E56&gt;G56,Config!$B$8,IF(E56=G56,Config!$B$9,Config!$B$10)))))</f>
        <v/>
      </c>
      <c r="J56">
        <f>IF(H56="Visitante venceu por WO",Config!$B$12,IF(H56="Mandante venceu por WO",Config!$B$13,IF(OR(E56="",G56=""),"",IF(G56&gt;E56,Config!$B$8,IF(E56=G56,Config!$B$9,Config!$B$10)))))</f>
        <v/>
      </c>
      <c r="K56">
        <f>IF(H56="Mandante venceu por WO",D56,IF(H56="Visitante venceu por WO",F56,IF(OR(E56="",G56=""),"",IF(E56&gt;G56,D56,IF(G56&gt;E56,F56,"Empate")))))</f>
        <v/>
      </c>
    </row>
    <row r="57">
      <c r="I57">
        <f>IF(H57="Mandante venceu por WO",Config!$B$12,IF(H57="Visitante venceu por WO",Config!$B$13,IF(OR(E57="",G57=""),"",IF(E57&gt;G57,Config!$B$8,IF(E57=G57,Config!$B$9,Config!$B$10)))))</f>
        <v/>
      </c>
      <c r="J57">
        <f>IF(H57="Visitante venceu por WO",Config!$B$12,IF(H57="Mandante venceu por WO",Config!$B$13,IF(OR(E57="",G57=""),"",IF(G57&gt;E57,Config!$B$8,IF(E57=G57,Config!$B$9,Config!$B$10)))))</f>
        <v/>
      </c>
      <c r="K57">
        <f>IF(H57="Mandante venceu por WO",D57,IF(H57="Visitante venceu por WO",F57,IF(OR(E57="",G57=""),"",IF(E57&gt;G57,D57,IF(G57&gt;E57,F57,"Empate")))))</f>
        <v/>
      </c>
    </row>
    <row r="58">
      <c r="I58">
        <f>IF(H58="Mandante venceu por WO",Config!$B$12,IF(H58="Visitante venceu por WO",Config!$B$13,IF(OR(E58="",G58=""),"",IF(E58&gt;G58,Config!$B$8,IF(E58=G58,Config!$B$9,Config!$B$10)))))</f>
        <v/>
      </c>
      <c r="J58">
        <f>IF(H58="Visitante venceu por WO",Config!$B$12,IF(H58="Mandante venceu por WO",Config!$B$13,IF(OR(E58="",G58=""),"",IF(G58&gt;E58,Config!$B$8,IF(E58=G58,Config!$B$9,Config!$B$10)))))</f>
        <v/>
      </c>
      <c r="K58">
        <f>IF(H58="Mandante venceu por WO",D58,IF(H58="Visitante venceu por WO",F58,IF(OR(E58="",G58=""),"",IF(E58&gt;G58,D58,IF(G58&gt;E58,F58,"Empate")))))</f>
        <v/>
      </c>
    </row>
    <row r="59">
      <c r="I59">
        <f>IF(H59="Mandante venceu por WO",Config!$B$12,IF(H59="Visitante venceu por WO",Config!$B$13,IF(OR(E59="",G59=""),"",IF(E59&gt;G59,Config!$B$8,IF(E59=G59,Config!$B$9,Config!$B$10)))))</f>
        <v/>
      </c>
      <c r="J59">
        <f>IF(H59="Visitante venceu por WO",Config!$B$12,IF(H59="Mandante venceu por WO",Config!$B$13,IF(OR(E59="",G59=""),"",IF(G59&gt;E59,Config!$B$8,IF(E59=G59,Config!$B$9,Config!$B$10)))))</f>
        <v/>
      </c>
      <c r="K59">
        <f>IF(H59="Mandante venceu por WO",D59,IF(H59="Visitante venceu por WO",F59,IF(OR(E59="",G59=""),"",IF(E59&gt;G59,D59,IF(G59&gt;E59,F59,"Empate")))))</f>
        <v/>
      </c>
    </row>
    <row r="60">
      <c r="I60">
        <f>IF(H60="Mandante venceu por WO",Config!$B$12,IF(H60="Visitante venceu por WO",Config!$B$13,IF(OR(E60="",G60=""),"",IF(E60&gt;G60,Config!$B$8,IF(E60=G60,Config!$B$9,Config!$B$10)))))</f>
        <v/>
      </c>
      <c r="J60">
        <f>IF(H60="Visitante venceu por WO",Config!$B$12,IF(H60="Mandante venceu por WO",Config!$B$13,IF(OR(E60="",G60=""),"",IF(G60&gt;E60,Config!$B$8,IF(E60=G60,Config!$B$9,Config!$B$10)))))</f>
        <v/>
      </c>
      <c r="K60">
        <f>IF(H60="Mandante venceu por WO",D60,IF(H60="Visitante venceu por WO",F60,IF(OR(E60="",G60=""),"",IF(E60&gt;G60,D60,IF(G60&gt;E60,F60,"Empate")))))</f>
        <v/>
      </c>
    </row>
    <row r="61">
      <c r="I61">
        <f>IF(H61="Mandante venceu por WO",Config!$B$12,IF(H61="Visitante venceu por WO",Config!$B$13,IF(OR(E61="",G61=""),"",IF(E61&gt;G61,Config!$B$8,IF(E61=G61,Config!$B$9,Config!$B$10)))))</f>
        <v/>
      </c>
      <c r="J61">
        <f>IF(H61="Visitante venceu por WO",Config!$B$12,IF(H61="Mandante venceu por WO",Config!$B$13,IF(OR(E61="",G61=""),"",IF(G61&gt;E61,Config!$B$8,IF(E61=G61,Config!$B$9,Config!$B$10)))))</f>
        <v/>
      </c>
      <c r="K61">
        <f>IF(H61="Mandante venceu por WO",D61,IF(H61="Visitante venceu por WO",F61,IF(OR(E61="",G61=""),"",IF(E61&gt;G61,D61,IF(G61&gt;E61,F61,"Empate")))))</f>
        <v/>
      </c>
    </row>
    <row r="62">
      <c r="I62">
        <f>IF(H62="Mandante venceu por WO",Config!$B$12,IF(H62="Visitante venceu por WO",Config!$B$13,IF(OR(E62="",G62=""),"",IF(E62&gt;G62,Config!$B$8,IF(E62=G62,Config!$B$9,Config!$B$10)))))</f>
        <v/>
      </c>
      <c r="J62">
        <f>IF(H62="Visitante venceu por WO",Config!$B$12,IF(H62="Mandante venceu por WO",Config!$B$13,IF(OR(E62="",G62=""),"",IF(G62&gt;E62,Config!$B$8,IF(E62=G62,Config!$B$9,Config!$B$10)))))</f>
        <v/>
      </c>
      <c r="K62">
        <f>IF(H62="Mandante venceu por WO",D62,IF(H62="Visitante venceu por WO",F62,IF(OR(E62="",G62=""),"",IF(E62&gt;G62,D62,IF(G62&gt;E62,F62,"Empate")))))</f>
        <v/>
      </c>
    </row>
    <row r="63">
      <c r="I63">
        <f>IF(H63="Mandante venceu por WO",Config!$B$12,IF(H63="Visitante venceu por WO",Config!$B$13,IF(OR(E63="",G63=""),"",IF(E63&gt;G63,Config!$B$8,IF(E63=G63,Config!$B$9,Config!$B$10)))))</f>
        <v/>
      </c>
      <c r="J63">
        <f>IF(H63="Visitante venceu por WO",Config!$B$12,IF(H63="Mandante venceu por WO",Config!$B$13,IF(OR(E63="",G63=""),"",IF(G63&gt;E63,Config!$B$8,IF(E63=G63,Config!$B$9,Config!$B$10)))))</f>
        <v/>
      </c>
      <c r="K63">
        <f>IF(H63="Mandante venceu por WO",D63,IF(H63="Visitante venceu por WO",F63,IF(OR(E63="",G63=""),"",IF(E63&gt;G63,D63,IF(G63&gt;E63,F63,"Empate")))))</f>
        <v/>
      </c>
    </row>
    <row r="64">
      <c r="I64">
        <f>IF(H64="Mandante venceu por WO",Config!$B$12,IF(H64="Visitante venceu por WO",Config!$B$13,IF(OR(E64="",G64=""),"",IF(E64&gt;G64,Config!$B$8,IF(E64=G64,Config!$B$9,Config!$B$10)))))</f>
        <v/>
      </c>
      <c r="J64">
        <f>IF(H64="Visitante venceu por WO",Config!$B$12,IF(H64="Mandante venceu por WO",Config!$B$13,IF(OR(E64="",G64=""),"",IF(G64&gt;E64,Config!$B$8,IF(E64=G64,Config!$B$9,Config!$B$10)))))</f>
        <v/>
      </c>
      <c r="K64">
        <f>IF(H64="Mandante venceu por WO",D64,IF(H64="Visitante venceu por WO",F64,IF(OR(E64="",G64=""),"",IF(E64&gt;G64,D64,IF(G64&gt;E64,F64,"Empate")))))</f>
        <v/>
      </c>
    </row>
    <row r="65">
      <c r="I65">
        <f>IF(H65="Mandante venceu por WO",Config!$B$12,IF(H65="Visitante venceu por WO",Config!$B$13,IF(OR(E65="",G65=""),"",IF(E65&gt;G65,Config!$B$8,IF(E65=G65,Config!$B$9,Config!$B$10)))))</f>
        <v/>
      </c>
      <c r="J65">
        <f>IF(H65="Visitante venceu por WO",Config!$B$12,IF(H65="Mandante venceu por WO",Config!$B$13,IF(OR(E65="",G65=""),"",IF(G65&gt;E65,Config!$B$8,IF(E65=G65,Config!$B$9,Config!$B$10)))))</f>
        <v/>
      </c>
      <c r="K65">
        <f>IF(H65="Mandante venceu por WO",D65,IF(H65="Visitante venceu por WO",F65,IF(OR(E65="",G65=""),"",IF(E65&gt;G65,D65,IF(G65&gt;E65,F65,"Empate")))))</f>
        <v/>
      </c>
    </row>
    <row r="66">
      <c r="I66">
        <f>IF(H66="Mandante venceu por WO",Config!$B$12,IF(H66="Visitante venceu por WO",Config!$B$13,IF(OR(E66="",G66=""),"",IF(E66&gt;G66,Config!$B$8,IF(E66=G66,Config!$B$9,Config!$B$10)))))</f>
        <v/>
      </c>
      <c r="J66">
        <f>IF(H66="Visitante venceu por WO",Config!$B$12,IF(H66="Mandante venceu por WO",Config!$B$13,IF(OR(E66="",G66=""),"",IF(G66&gt;E66,Config!$B$8,IF(E66=G66,Config!$B$9,Config!$B$10)))))</f>
        <v/>
      </c>
      <c r="K66">
        <f>IF(H66="Mandante venceu por WO",D66,IF(H66="Visitante venceu por WO",F66,IF(OR(E66="",G66=""),"",IF(E66&gt;G66,D66,IF(G66&gt;E66,F66,"Empate")))))</f>
        <v/>
      </c>
    </row>
    <row r="67">
      <c r="I67">
        <f>IF(H67="Mandante venceu por WO",Config!$B$12,IF(H67="Visitante venceu por WO",Config!$B$13,IF(OR(E67="",G67=""),"",IF(E67&gt;G67,Config!$B$8,IF(E67=G67,Config!$B$9,Config!$B$10)))))</f>
        <v/>
      </c>
      <c r="J67">
        <f>IF(H67="Visitante venceu por WO",Config!$B$12,IF(H67="Mandante venceu por WO",Config!$B$13,IF(OR(E67="",G67=""),"",IF(G67&gt;E67,Config!$B$8,IF(E67=G67,Config!$B$9,Config!$B$10)))))</f>
        <v/>
      </c>
      <c r="K67">
        <f>IF(H67="Mandante venceu por WO",D67,IF(H67="Visitante venceu por WO",F67,IF(OR(E67="",G67=""),"",IF(E67&gt;G67,D67,IF(G67&gt;E67,F67,"Empate")))))</f>
        <v/>
      </c>
    </row>
    <row r="68">
      <c r="I68">
        <f>IF(H68="Mandante venceu por WO",Config!$B$12,IF(H68="Visitante venceu por WO",Config!$B$13,IF(OR(E68="",G68=""),"",IF(E68&gt;G68,Config!$B$8,IF(E68=G68,Config!$B$9,Config!$B$10)))))</f>
        <v/>
      </c>
      <c r="J68">
        <f>IF(H68="Visitante venceu por WO",Config!$B$12,IF(H68="Mandante venceu por WO",Config!$B$13,IF(OR(E68="",G68=""),"",IF(G68&gt;E68,Config!$B$8,IF(E68=G68,Config!$B$9,Config!$B$10)))))</f>
        <v/>
      </c>
      <c r="K68">
        <f>IF(H68="Mandante venceu por WO",D68,IF(H68="Visitante venceu por WO",F68,IF(OR(E68="",G68=""),"",IF(E68&gt;G68,D68,IF(G68&gt;E68,F68,"Empate")))))</f>
        <v/>
      </c>
    </row>
    <row r="69">
      <c r="I69">
        <f>IF(H69="Mandante venceu por WO",Config!$B$12,IF(H69="Visitante venceu por WO",Config!$B$13,IF(OR(E69="",G69=""),"",IF(E69&gt;G69,Config!$B$8,IF(E69=G69,Config!$B$9,Config!$B$10)))))</f>
        <v/>
      </c>
      <c r="J69">
        <f>IF(H69="Visitante venceu por WO",Config!$B$12,IF(H69="Mandante venceu por WO",Config!$B$13,IF(OR(E69="",G69=""),"",IF(G69&gt;E69,Config!$B$8,IF(E69=G69,Config!$B$9,Config!$B$10)))))</f>
        <v/>
      </c>
      <c r="K69">
        <f>IF(H69="Mandante venceu por WO",D69,IF(H69="Visitante venceu por WO",F69,IF(OR(E69="",G69=""),"",IF(E69&gt;G69,D69,IF(G69&gt;E69,F69,"Empate")))))</f>
        <v/>
      </c>
    </row>
    <row r="70">
      <c r="I70">
        <f>IF(H70="Mandante venceu por WO",Config!$B$12,IF(H70="Visitante venceu por WO",Config!$B$13,IF(OR(E70="",G70=""),"",IF(E70&gt;G70,Config!$B$8,IF(E70=G70,Config!$B$9,Config!$B$10)))))</f>
        <v/>
      </c>
      <c r="J70">
        <f>IF(H70="Visitante venceu por WO",Config!$B$12,IF(H70="Mandante venceu por WO",Config!$B$13,IF(OR(E70="",G70=""),"",IF(G70&gt;E70,Config!$B$8,IF(E70=G70,Config!$B$9,Config!$B$10)))))</f>
        <v/>
      </c>
      <c r="K70">
        <f>IF(H70="Mandante venceu por WO",D70,IF(H70="Visitante venceu por WO",F70,IF(OR(E70="",G70=""),"",IF(E70&gt;G70,D70,IF(G70&gt;E70,F70,"Empate")))))</f>
        <v/>
      </c>
    </row>
    <row r="71">
      <c r="I71">
        <f>IF(H71="Mandante venceu por WO",Config!$B$12,IF(H71="Visitante venceu por WO",Config!$B$13,IF(OR(E71="",G71=""),"",IF(E71&gt;G71,Config!$B$8,IF(E71=G71,Config!$B$9,Config!$B$10)))))</f>
        <v/>
      </c>
      <c r="J71">
        <f>IF(H71="Visitante venceu por WO",Config!$B$12,IF(H71="Mandante venceu por WO",Config!$B$13,IF(OR(E71="",G71=""),"",IF(G71&gt;E71,Config!$B$8,IF(E71=G71,Config!$B$9,Config!$B$10)))))</f>
        <v/>
      </c>
      <c r="K71">
        <f>IF(H71="Mandante venceu por WO",D71,IF(H71="Visitante venceu por WO",F71,IF(OR(E71="",G71=""),"",IF(E71&gt;G71,D71,IF(G71&gt;E71,F71,"Empate")))))</f>
        <v/>
      </c>
    </row>
    <row r="72">
      <c r="I72">
        <f>IF(H72="Mandante venceu por WO",Config!$B$12,IF(H72="Visitante venceu por WO",Config!$B$13,IF(OR(E72="",G72=""),"",IF(E72&gt;G72,Config!$B$8,IF(E72=G72,Config!$B$9,Config!$B$10)))))</f>
        <v/>
      </c>
      <c r="J72">
        <f>IF(H72="Visitante venceu por WO",Config!$B$12,IF(H72="Mandante venceu por WO",Config!$B$13,IF(OR(E72="",G72=""),"",IF(G72&gt;E72,Config!$B$8,IF(E72=G72,Config!$B$9,Config!$B$10)))))</f>
        <v/>
      </c>
      <c r="K72">
        <f>IF(H72="Mandante venceu por WO",D72,IF(H72="Visitante venceu por WO",F72,IF(OR(E72="",G72=""),"",IF(E72&gt;G72,D72,IF(G72&gt;E72,F72,"Empate")))))</f>
        <v/>
      </c>
    </row>
    <row r="73">
      <c r="I73">
        <f>IF(H73="Mandante venceu por WO",Config!$B$12,IF(H73="Visitante venceu por WO",Config!$B$13,IF(OR(E73="",G73=""),"",IF(E73&gt;G73,Config!$B$8,IF(E73=G73,Config!$B$9,Config!$B$10)))))</f>
        <v/>
      </c>
      <c r="J73">
        <f>IF(H73="Visitante venceu por WO",Config!$B$12,IF(H73="Mandante venceu por WO",Config!$B$13,IF(OR(E73="",G73=""),"",IF(G73&gt;E73,Config!$B$8,IF(E73=G73,Config!$B$9,Config!$B$10)))))</f>
        <v/>
      </c>
      <c r="K73">
        <f>IF(H73="Mandante venceu por WO",D73,IF(H73="Visitante venceu por WO",F73,IF(OR(E73="",G73=""),"",IF(E73&gt;G73,D73,IF(G73&gt;E73,F73,"Empate")))))</f>
        <v/>
      </c>
    </row>
    <row r="74">
      <c r="I74">
        <f>IF(H74="Mandante venceu por WO",Config!$B$12,IF(H74="Visitante venceu por WO",Config!$B$13,IF(OR(E74="",G74=""),"",IF(E74&gt;G74,Config!$B$8,IF(E74=G74,Config!$B$9,Config!$B$10)))))</f>
        <v/>
      </c>
      <c r="J74">
        <f>IF(H74="Visitante venceu por WO",Config!$B$12,IF(H74="Mandante venceu por WO",Config!$B$13,IF(OR(E74="",G74=""),"",IF(G74&gt;E74,Config!$B$8,IF(E74=G74,Config!$B$9,Config!$B$10)))))</f>
        <v/>
      </c>
      <c r="K74">
        <f>IF(H74="Mandante venceu por WO",D74,IF(H74="Visitante venceu por WO",F74,IF(OR(E74="",G74=""),"",IF(E74&gt;G74,D74,IF(G74&gt;E74,F74,"Empate")))))</f>
        <v/>
      </c>
    </row>
    <row r="75">
      <c r="I75">
        <f>IF(H75="Mandante venceu por WO",Config!$B$12,IF(H75="Visitante venceu por WO",Config!$B$13,IF(OR(E75="",G75=""),"",IF(E75&gt;G75,Config!$B$8,IF(E75=G75,Config!$B$9,Config!$B$10)))))</f>
        <v/>
      </c>
      <c r="J75">
        <f>IF(H75="Visitante venceu por WO",Config!$B$12,IF(H75="Mandante venceu por WO",Config!$B$13,IF(OR(E75="",G75=""),"",IF(G75&gt;E75,Config!$B$8,IF(E75=G75,Config!$B$9,Config!$B$10)))))</f>
        <v/>
      </c>
      <c r="K75">
        <f>IF(H75="Mandante venceu por WO",D75,IF(H75="Visitante venceu por WO",F75,IF(OR(E75="",G75=""),"",IF(E75&gt;G75,D75,IF(G75&gt;E75,F75,"Empate")))))</f>
        <v/>
      </c>
    </row>
    <row r="76">
      <c r="I76">
        <f>IF(H76="Mandante venceu por WO",Config!$B$12,IF(H76="Visitante venceu por WO",Config!$B$13,IF(OR(E76="",G76=""),"",IF(E76&gt;G76,Config!$B$8,IF(E76=G76,Config!$B$9,Config!$B$10)))))</f>
        <v/>
      </c>
      <c r="J76">
        <f>IF(H76="Visitante venceu por WO",Config!$B$12,IF(H76="Mandante venceu por WO",Config!$B$13,IF(OR(E76="",G76=""),"",IF(G76&gt;E76,Config!$B$8,IF(E76=G76,Config!$B$9,Config!$B$10)))))</f>
        <v/>
      </c>
      <c r="K76">
        <f>IF(H76="Mandante venceu por WO",D76,IF(H76="Visitante venceu por WO",F76,IF(OR(E76="",G76=""),"",IF(E76&gt;G76,D76,IF(G76&gt;E76,F76,"Empate")))))</f>
        <v/>
      </c>
    </row>
    <row r="77">
      <c r="I77">
        <f>IF(H77="Mandante venceu por WO",Config!$B$12,IF(H77="Visitante venceu por WO",Config!$B$13,IF(OR(E77="",G77=""),"",IF(E77&gt;G77,Config!$B$8,IF(E77=G77,Config!$B$9,Config!$B$10)))))</f>
        <v/>
      </c>
      <c r="J77">
        <f>IF(H77="Visitante venceu por WO",Config!$B$12,IF(H77="Mandante venceu por WO",Config!$B$13,IF(OR(E77="",G77=""),"",IF(G77&gt;E77,Config!$B$8,IF(E77=G77,Config!$B$9,Config!$B$10)))))</f>
        <v/>
      </c>
      <c r="K77">
        <f>IF(H77="Mandante venceu por WO",D77,IF(H77="Visitante venceu por WO",F77,IF(OR(E77="",G77=""),"",IF(E77&gt;G77,D77,IF(G77&gt;E77,F77,"Empate")))))</f>
        <v/>
      </c>
    </row>
    <row r="78">
      <c r="I78">
        <f>IF(H78="Mandante venceu por WO",Config!$B$12,IF(H78="Visitante venceu por WO",Config!$B$13,IF(OR(E78="",G78=""),"",IF(E78&gt;G78,Config!$B$8,IF(E78=G78,Config!$B$9,Config!$B$10)))))</f>
        <v/>
      </c>
      <c r="J78">
        <f>IF(H78="Visitante venceu por WO",Config!$B$12,IF(H78="Mandante venceu por WO",Config!$B$13,IF(OR(E78="",G78=""),"",IF(G78&gt;E78,Config!$B$8,IF(E78=G78,Config!$B$9,Config!$B$10)))))</f>
        <v/>
      </c>
      <c r="K78">
        <f>IF(H78="Mandante venceu por WO",D78,IF(H78="Visitante venceu por WO",F78,IF(OR(E78="",G78=""),"",IF(E78&gt;G78,D78,IF(G78&gt;E78,F78,"Empate")))))</f>
        <v/>
      </c>
    </row>
    <row r="79">
      <c r="I79">
        <f>IF(H79="Mandante venceu por WO",Config!$B$12,IF(H79="Visitante venceu por WO",Config!$B$13,IF(OR(E79="",G79=""),"",IF(E79&gt;G79,Config!$B$8,IF(E79=G79,Config!$B$9,Config!$B$10)))))</f>
        <v/>
      </c>
      <c r="J79">
        <f>IF(H79="Visitante venceu por WO",Config!$B$12,IF(H79="Mandante venceu por WO",Config!$B$13,IF(OR(E79="",G79=""),"",IF(G79&gt;E79,Config!$B$8,IF(E79=G79,Config!$B$9,Config!$B$10)))))</f>
        <v/>
      </c>
      <c r="K79">
        <f>IF(H79="Mandante venceu por WO",D79,IF(H79="Visitante venceu por WO",F79,IF(OR(E79="",G79=""),"",IF(E79&gt;G79,D79,IF(G79&gt;E79,F79,"Empate")))))</f>
        <v/>
      </c>
    </row>
    <row r="80">
      <c r="I80">
        <f>IF(H80="Mandante venceu por WO",Config!$B$12,IF(H80="Visitante venceu por WO",Config!$B$13,IF(OR(E80="",G80=""),"",IF(E80&gt;G80,Config!$B$8,IF(E80=G80,Config!$B$9,Config!$B$10)))))</f>
        <v/>
      </c>
      <c r="J80">
        <f>IF(H80="Visitante venceu por WO",Config!$B$12,IF(H80="Mandante venceu por WO",Config!$B$13,IF(OR(E80="",G80=""),"",IF(G80&gt;E80,Config!$B$8,IF(E80=G80,Config!$B$9,Config!$B$10)))))</f>
        <v/>
      </c>
      <c r="K80">
        <f>IF(H80="Mandante venceu por WO",D80,IF(H80="Visitante venceu por WO",F80,IF(OR(E80="",G80=""),"",IF(E80&gt;G80,D80,IF(G80&gt;E80,F80,"Empate")))))</f>
        <v/>
      </c>
    </row>
    <row r="81">
      <c r="I81">
        <f>IF(H81="Mandante venceu por WO",Config!$B$12,IF(H81="Visitante venceu por WO",Config!$B$13,IF(OR(E81="",G81=""),"",IF(E81&gt;G81,Config!$B$8,IF(E81=G81,Config!$B$9,Config!$B$10)))))</f>
        <v/>
      </c>
      <c r="J81">
        <f>IF(H81="Visitante venceu por WO",Config!$B$12,IF(H81="Mandante venceu por WO",Config!$B$13,IF(OR(E81="",G81=""),"",IF(G81&gt;E81,Config!$B$8,IF(E81=G81,Config!$B$9,Config!$B$10)))))</f>
        <v/>
      </c>
      <c r="K81">
        <f>IF(H81="Mandante venceu por WO",D81,IF(H81="Visitante venceu por WO",F81,IF(OR(E81="",G81=""),"",IF(E81&gt;G81,D81,IF(G81&gt;E81,F81,"Empate")))))</f>
        <v/>
      </c>
    </row>
    <row r="82">
      <c r="I82">
        <f>IF(H82="Mandante venceu por WO",Config!$B$12,IF(H82="Visitante venceu por WO",Config!$B$13,IF(OR(E82="",G82=""),"",IF(E82&gt;G82,Config!$B$8,IF(E82=G82,Config!$B$9,Config!$B$10)))))</f>
        <v/>
      </c>
      <c r="J82">
        <f>IF(H82="Visitante venceu por WO",Config!$B$12,IF(H82="Mandante venceu por WO",Config!$B$13,IF(OR(E82="",G82=""),"",IF(G82&gt;E82,Config!$B$8,IF(E82=G82,Config!$B$9,Config!$B$10)))))</f>
        <v/>
      </c>
      <c r="K82">
        <f>IF(H82="Mandante venceu por WO",D82,IF(H82="Visitante venceu por WO",F82,IF(OR(E82="",G82=""),"",IF(E82&gt;G82,D82,IF(G82&gt;E82,F82,"Empate")))))</f>
        <v/>
      </c>
    </row>
    <row r="83">
      <c r="I83">
        <f>IF(H83="Mandante venceu por WO",Config!$B$12,IF(H83="Visitante venceu por WO",Config!$B$13,IF(OR(E83="",G83=""),"",IF(E83&gt;G83,Config!$B$8,IF(E83=G83,Config!$B$9,Config!$B$10)))))</f>
        <v/>
      </c>
      <c r="J83">
        <f>IF(H83="Visitante venceu por WO",Config!$B$12,IF(H83="Mandante venceu por WO",Config!$B$13,IF(OR(E83="",G83=""),"",IF(G83&gt;E83,Config!$B$8,IF(E83=G83,Config!$B$9,Config!$B$10)))))</f>
        <v/>
      </c>
      <c r="K83">
        <f>IF(H83="Mandante venceu por WO",D83,IF(H83="Visitante venceu por WO",F83,IF(OR(E83="",G83=""),"",IF(E83&gt;G83,D83,IF(G83&gt;E83,F83,"Empate")))))</f>
        <v/>
      </c>
    </row>
    <row r="84">
      <c r="I84">
        <f>IF(H84="Mandante venceu por WO",Config!$B$12,IF(H84="Visitante venceu por WO",Config!$B$13,IF(OR(E84="",G84=""),"",IF(E84&gt;G84,Config!$B$8,IF(E84=G84,Config!$B$9,Config!$B$10)))))</f>
        <v/>
      </c>
      <c r="J84">
        <f>IF(H84="Visitante venceu por WO",Config!$B$12,IF(H84="Mandante venceu por WO",Config!$B$13,IF(OR(E84="",G84=""),"",IF(G84&gt;E84,Config!$B$8,IF(E84=G84,Config!$B$9,Config!$B$10)))))</f>
        <v/>
      </c>
      <c r="K84">
        <f>IF(H84="Mandante venceu por WO",D84,IF(H84="Visitante venceu por WO",F84,IF(OR(E84="",G84=""),"",IF(E84&gt;G84,D84,IF(G84&gt;E84,F84,"Empate")))))</f>
        <v/>
      </c>
    </row>
    <row r="85">
      <c r="I85">
        <f>IF(H85="Mandante venceu por WO",Config!$B$12,IF(H85="Visitante venceu por WO",Config!$B$13,IF(OR(E85="",G85=""),"",IF(E85&gt;G85,Config!$B$8,IF(E85=G85,Config!$B$9,Config!$B$10)))))</f>
        <v/>
      </c>
      <c r="J85">
        <f>IF(H85="Visitante venceu por WO",Config!$B$12,IF(H85="Mandante venceu por WO",Config!$B$13,IF(OR(E85="",G85=""),"",IF(G85&gt;E85,Config!$B$8,IF(E85=G85,Config!$B$9,Config!$B$10)))))</f>
        <v/>
      </c>
      <c r="K85">
        <f>IF(H85="Mandante venceu por WO",D85,IF(H85="Visitante venceu por WO",F85,IF(OR(E85="",G85=""),"",IF(E85&gt;G85,D85,IF(G85&gt;E85,F85,"Empate")))))</f>
        <v/>
      </c>
    </row>
    <row r="86">
      <c r="I86">
        <f>IF(H86="Mandante venceu por WO",Config!$B$12,IF(H86="Visitante venceu por WO",Config!$B$13,IF(OR(E86="",G86=""),"",IF(E86&gt;G86,Config!$B$8,IF(E86=G86,Config!$B$9,Config!$B$10)))))</f>
        <v/>
      </c>
      <c r="J86">
        <f>IF(H86="Visitante venceu por WO",Config!$B$12,IF(H86="Mandante venceu por WO",Config!$B$13,IF(OR(E86="",G86=""),"",IF(G86&gt;E86,Config!$B$8,IF(E86=G86,Config!$B$9,Config!$B$10)))))</f>
        <v/>
      </c>
      <c r="K86">
        <f>IF(H86="Mandante venceu por WO",D86,IF(H86="Visitante venceu por WO",F86,IF(OR(E86="",G86=""),"",IF(E86&gt;G86,D86,IF(G86&gt;E86,F86,"Empate")))))</f>
        <v/>
      </c>
    </row>
    <row r="87">
      <c r="I87">
        <f>IF(H87="Mandante venceu por WO",Config!$B$12,IF(H87="Visitante venceu por WO",Config!$B$13,IF(OR(E87="",G87=""),"",IF(E87&gt;G87,Config!$B$8,IF(E87=G87,Config!$B$9,Config!$B$10)))))</f>
        <v/>
      </c>
      <c r="J87">
        <f>IF(H87="Visitante venceu por WO",Config!$B$12,IF(H87="Mandante venceu por WO",Config!$B$13,IF(OR(E87="",G87=""),"",IF(G87&gt;E87,Config!$B$8,IF(E87=G87,Config!$B$9,Config!$B$10)))))</f>
        <v/>
      </c>
      <c r="K87">
        <f>IF(H87="Mandante venceu por WO",D87,IF(H87="Visitante venceu por WO",F87,IF(OR(E87="",G87=""),"",IF(E87&gt;G87,D87,IF(G87&gt;E87,F87,"Empate")))))</f>
        <v/>
      </c>
    </row>
    <row r="88">
      <c r="I88">
        <f>IF(H88="Mandante venceu por WO",Config!$B$12,IF(H88="Visitante venceu por WO",Config!$B$13,IF(OR(E88="",G88=""),"",IF(E88&gt;G88,Config!$B$8,IF(E88=G88,Config!$B$9,Config!$B$10)))))</f>
        <v/>
      </c>
      <c r="J88">
        <f>IF(H88="Visitante venceu por WO",Config!$B$12,IF(H88="Mandante venceu por WO",Config!$B$13,IF(OR(E88="",G88=""),"",IF(G88&gt;E88,Config!$B$8,IF(E88=G88,Config!$B$9,Config!$B$10)))))</f>
        <v/>
      </c>
      <c r="K88">
        <f>IF(H88="Mandante venceu por WO",D88,IF(H88="Visitante venceu por WO",F88,IF(OR(E88="",G88=""),"",IF(E88&gt;G88,D88,IF(G88&gt;E88,F88,"Empate")))))</f>
        <v/>
      </c>
    </row>
    <row r="89">
      <c r="I89">
        <f>IF(H89="Mandante venceu por WO",Config!$B$12,IF(H89="Visitante venceu por WO",Config!$B$13,IF(OR(E89="",G89=""),"",IF(E89&gt;G89,Config!$B$8,IF(E89=G89,Config!$B$9,Config!$B$10)))))</f>
        <v/>
      </c>
      <c r="J89">
        <f>IF(H89="Visitante venceu por WO",Config!$B$12,IF(H89="Mandante venceu por WO",Config!$B$13,IF(OR(E89="",G89=""),"",IF(G89&gt;E89,Config!$B$8,IF(E89=G89,Config!$B$9,Config!$B$10)))))</f>
        <v/>
      </c>
      <c r="K89">
        <f>IF(H89="Mandante venceu por WO",D89,IF(H89="Visitante venceu por WO",F89,IF(OR(E89="",G89=""),"",IF(E89&gt;G89,D89,IF(G89&gt;E89,F89,"Empate")))))</f>
        <v/>
      </c>
    </row>
    <row r="90">
      <c r="I90">
        <f>IF(H90="Mandante venceu por WO",Config!$B$12,IF(H90="Visitante venceu por WO",Config!$B$13,IF(OR(E90="",G90=""),"",IF(E90&gt;G90,Config!$B$8,IF(E90=G90,Config!$B$9,Config!$B$10)))))</f>
        <v/>
      </c>
      <c r="J90">
        <f>IF(H90="Visitante venceu por WO",Config!$B$12,IF(H90="Mandante venceu por WO",Config!$B$13,IF(OR(E90="",G90=""),"",IF(G90&gt;E90,Config!$B$8,IF(E90=G90,Config!$B$9,Config!$B$10)))))</f>
        <v/>
      </c>
      <c r="K90">
        <f>IF(H90="Mandante venceu por WO",D90,IF(H90="Visitante venceu por WO",F90,IF(OR(E90="",G90=""),"",IF(E90&gt;G90,D90,IF(G90&gt;E90,F90,"Empate")))))</f>
        <v/>
      </c>
    </row>
    <row r="91">
      <c r="I91">
        <f>IF(H91="Mandante venceu por WO",Config!$B$12,IF(H91="Visitante venceu por WO",Config!$B$13,IF(OR(E91="",G91=""),"",IF(E91&gt;G91,Config!$B$8,IF(E91=G91,Config!$B$9,Config!$B$10)))))</f>
        <v/>
      </c>
      <c r="J91">
        <f>IF(H91="Visitante venceu por WO",Config!$B$12,IF(H91="Mandante venceu por WO",Config!$B$13,IF(OR(E91="",G91=""),"",IF(G91&gt;E91,Config!$B$8,IF(E91=G91,Config!$B$9,Config!$B$10)))))</f>
        <v/>
      </c>
      <c r="K91">
        <f>IF(H91="Mandante venceu por WO",D91,IF(H91="Visitante venceu por WO",F91,IF(OR(E91="",G91=""),"",IF(E91&gt;G91,D91,IF(G91&gt;E91,F91,"Empate")))))</f>
        <v/>
      </c>
    </row>
    <row r="92">
      <c r="I92">
        <f>IF(H92="Mandante venceu por WO",Config!$B$12,IF(H92="Visitante venceu por WO",Config!$B$13,IF(OR(E92="",G92=""),"",IF(E92&gt;G92,Config!$B$8,IF(E92=G92,Config!$B$9,Config!$B$10)))))</f>
        <v/>
      </c>
      <c r="J92">
        <f>IF(H92="Visitante venceu por WO",Config!$B$12,IF(H92="Mandante venceu por WO",Config!$B$13,IF(OR(E92="",G92=""),"",IF(G92&gt;E92,Config!$B$8,IF(E92=G92,Config!$B$9,Config!$B$10)))))</f>
        <v/>
      </c>
      <c r="K92">
        <f>IF(H92="Mandante venceu por WO",D92,IF(H92="Visitante venceu por WO",F92,IF(OR(E92="",G92=""),"",IF(E92&gt;G92,D92,IF(G92&gt;E92,F92,"Empate")))))</f>
        <v/>
      </c>
    </row>
    <row r="93">
      <c r="I93">
        <f>IF(H93="Mandante venceu por WO",Config!$B$12,IF(H93="Visitante venceu por WO",Config!$B$13,IF(OR(E93="",G93=""),"",IF(E93&gt;G93,Config!$B$8,IF(E93=G93,Config!$B$9,Config!$B$10)))))</f>
        <v/>
      </c>
      <c r="J93">
        <f>IF(H93="Visitante venceu por WO",Config!$B$12,IF(H93="Mandante venceu por WO",Config!$B$13,IF(OR(E93="",G93=""),"",IF(G93&gt;E93,Config!$B$8,IF(E93=G93,Config!$B$9,Config!$B$10)))))</f>
        <v/>
      </c>
      <c r="K93">
        <f>IF(H93="Mandante venceu por WO",D93,IF(H93="Visitante venceu por WO",F93,IF(OR(E93="",G93=""),"",IF(E93&gt;G93,D93,IF(G93&gt;E93,F93,"Empate")))))</f>
        <v/>
      </c>
    </row>
    <row r="94">
      <c r="I94">
        <f>IF(H94="Mandante venceu por WO",Config!$B$12,IF(H94="Visitante venceu por WO",Config!$B$13,IF(OR(E94="",G94=""),"",IF(E94&gt;G94,Config!$B$8,IF(E94=G94,Config!$B$9,Config!$B$10)))))</f>
        <v/>
      </c>
      <c r="J94">
        <f>IF(H94="Visitante venceu por WO",Config!$B$12,IF(H94="Mandante venceu por WO",Config!$B$13,IF(OR(E94="",G94=""),"",IF(G94&gt;E94,Config!$B$8,IF(E94=G94,Config!$B$9,Config!$B$10)))))</f>
        <v/>
      </c>
      <c r="K94">
        <f>IF(H94="Mandante venceu por WO",D94,IF(H94="Visitante venceu por WO",F94,IF(OR(E94="",G94=""),"",IF(E94&gt;G94,D94,IF(G94&gt;E94,F94,"Empate")))))</f>
        <v/>
      </c>
    </row>
    <row r="95">
      <c r="I95">
        <f>IF(H95="Mandante venceu por WO",Config!$B$12,IF(H95="Visitante venceu por WO",Config!$B$13,IF(OR(E95="",G95=""),"",IF(E95&gt;G95,Config!$B$8,IF(E95=G95,Config!$B$9,Config!$B$10)))))</f>
        <v/>
      </c>
      <c r="J95">
        <f>IF(H95="Visitante venceu por WO",Config!$B$12,IF(H95="Mandante venceu por WO",Config!$B$13,IF(OR(E95="",G95=""),"",IF(G95&gt;E95,Config!$B$8,IF(E95=G95,Config!$B$9,Config!$B$10)))))</f>
        <v/>
      </c>
      <c r="K95">
        <f>IF(H95="Mandante venceu por WO",D95,IF(H95="Visitante venceu por WO",F95,IF(OR(E95="",G95=""),"",IF(E95&gt;G95,D95,IF(G95&gt;E95,F95,"Empate")))))</f>
        <v/>
      </c>
    </row>
    <row r="96">
      <c r="I96">
        <f>IF(H96="Mandante venceu por WO",Config!$B$12,IF(H96="Visitante venceu por WO",Config!$B$13,IF(OR(E96="",G96=""),"",IF(E96&gt;G96,Config!$B$8,IF(E96=G96,Config!$B$9,Config!$B$10)))))</f>
        <v/>
      </c>
      <c r="J96">
        <f>IF(H96="Visitante venceu por WO",Config!$B$12,IF(H96="Mandante venceu por WO",Config!$B$13,IF(OR(E96="",G96=""),"",IF(G96&gt;E96,Config!$B$8,IF(E96=G96,Config!$B$9,Config!$B$10)))))</f>
        <v/>
      </c>
      <c r="K96">
        <f>IF(H96="Mandante venceu por WO",D96,IF(H96="Visitante venceu por WO",F96,IF(OR(E96="",G96=""),"",IF(E96&gt;G96,D96,IF(G96&gt;E96,F96,"Empate")))))</f>
        <v/>
      </c>
    </row>
    <row r="97">
      <c r="I97">
        <f>IF(H97="Mandante venceu por WO",Config!$B$12,IF(H97="Visitante venceu por WO",Config!$B$13,IF(OR(E97="",G97=""),"",IF(E97&gt;G97,Config!$B$8,IF(E97=G97,Config!$B$9,Config!$B$10)))))</f>
        <v/>
      </c>
      <c r="J97">
        <f>IF(H97="Visitante venceu por WO",Config!$B$12,IF(H97="Mandante venceu por WO",Config!$B$13,IF(OR(E97="",G97=""),"",IF(G97&gt;E97,Config!$B$8,IF(E97=G97,Config!$B$9,Config!$B$10)))))</f>
        <v/>
      </c>
      <c r="K97">
        <f>IF(H97="Mandante venceu por WO",D97,IF(H97="Visitante venceu por WO",F97,IF(OR(E97="",G97=""),"",IF(E97&gt;G97,D97,IF(G97&gt;E97,F97,"Empate")))))</f>
        <v/>
      </c>
    </row>
    <row r="98">
      <c r="I98">
        <f>IF(H98="Mandante venceu por WO",Config!$B$12,IF(H98="Visitante venceu por WO",Config!$B$13,IF(OR(E98="",G98=""),"",IF(E98&gt;G98,Config!$B$8,IF(E98=G98,Config!$B$9,Config!$B$10)))))</f>
        <v/>
      </c>
      <c r="J98">
        <f>IF(H98="Visitante venceu por WO",Config!$B$12,IF(H98="Mandante venceu por WO",Config!$B$13,IF(OR(E98="",G98=""),"",IF(G98&gt;E98,Config!$B$8,IF(E98=G98,Config!$B$9,Config!$B$10)))))</f>
        <v/>
      </c>
      <c r="K98">
        <f>IF(H98="Mandante venceu por WO",D98,IF(H98="Visitante venceu por WO",F98,IF(OR(E98="",G98=""),"",IF(E98&gt;G98,D98,IF(G98&gt;E98,F98,"Empate")))))</f>
        <v/>
      </c>
    </row>
    <row r="99">
      <c r="I99">
        <f>IF(H99="Mandante venceu por WO",Config!$B$12,IF(H99="Visitante venceu por WO",Config!$B$13,IF(OR(E99="",G99=""),"",IF(E99&gt;G99,Config!$B$8,IF(E99=G99,Config!$B$9,Config!$B$10)))))</f>
        <v/>
      </c>
      <c r="J99">
        <f>IF(H99="Visitante venceu por WO",Config!$B$12,IF(H99="Mandante venceu por WO",Config!$B$13,IF(OR(E99="",G99=""),"",IF(G99&gt;E99,Config!$B$8,IF(E99=G99,Config!$B$9,Config!$B$10)))))</f>
        <v/>
      </c>
      <c r="K99">
        <f>IF(H99="Mandante venceu por WO",D99,IF(H99="Visitante venceu por WO",F99,IF(OR(E99="",G99=""),"",IF(E99&gt;G99,D99,IF(G99&gt;E99,F99,"Empate")))))</f>
        <v/>
      </c>
    </row>
    <row r="100">
      <c r="I100">
        <f>IF(H100="Mandante venceu por WO",Config!$B$12,IF(H100="Visitante venceu por WO",Config!$B$13,IF(OR(E100="",G100=""),"",IF(E100&gt;G100,Config!$B$8,IF(E100=G100,Config!$B$9,Config!$B$10)))))</f>
        <v/>
      </c>
      <c r="J100">
        <f>IF(H100="Visitante venceu por WO",Config!$B$12,IF(H100="Mandante venceu por WO",Config!$B$13,IF(OR(E100="",G100=""),"",IF(G100&gt;E100,Config!$B$8,IF(E100=G100,Config!$B$9,Config!$B$10)))))</f>
        <v/>
      </c>
      <c r="K100">
        <f>IF(H100="Mandante venceu por WO",D100,IF(H100="Visitante venceu por WO",F100,IF(OR(E100="",G100=""),"",IF(E100&gt;G100,D100,IF(G100&gt;E100,F100,"Empate")))))</f>
        <v/>
      </c>
    </row>
    <row r="101">
      <c r="I101">
        <f>IF(H101="Mandante venceu por WO",Config!$B$12,IF(H101="Visitante venceu por WO",Config!$B$13,IF(OR(E101="",G101=""),"",IF(E101&gt;G101,Config!$B$8,IF(E101=G101,Config!$B$9,Config!$B$10)))))</f>
        <v/>
      </c>
      <c r="J101">
        <f>IF(H101="Visitante venceu por WO",Config!$B$12,IF(H101="Mandante venceu por WO",Config!$B$13,IF(OR(E101="",G101=""),"",IF(G101&gt;E101,Config!$B$8,IF(E101=G101,Config!$B$9,Config!$B$10)))))</f>
        <v/>
      </c>
      <c r="K101">
        <f>IF(H101="Mandante venceu por WO",D101,IF(H101="Visitante venceu por WO",F101,IF(OR(E101="",G101=""),"",IF(E101&gt;G101,D101,IF(G101&gt;E101,F101,"Empate")))))</f>
        <v/>
      </c>
    </row>
    <row r="102">
      <c r="I102">
        <f>IF(H102="Mandante venceu por WO",Config!$B$12,IF(H102="Visitante venceu por WO",Config!$B$13,IF(OR(E102="",G102=""),"",IF(E102&gt;G102,Config!$B$8,IF(E102=G102,Config!$B$9,Config!$B$10)))))</f>
        <v/>
      </c>
      <c r="J102">
        <f>IF(H102="Visitante venceu por WO",Config!$B$12,IF(H102="Mandante venceu por WO",Config!$B$13,IF(OR(E102="",G102=""),"",IF(G102&gt;E102,Config!$B$8,IF(E102=G102,Config!$B$9,Config!$B$10)))))</f>
        <v/>
      </c>
      <c r="K102">
        <f>IF(H102="Mandante venceu por WO",D102,IF(H102="Visitante venceu por WO",F102,IF(OR(E102="",G102=""),"",IF(E102&gt;G102,D102,IF(G102&gt;E102,F102,"Empate")))))</f>
        <v/>
      </c>
    </row>
    <row r="103">
      <c r="I103">
        <f>IF(H103="Mandante venceu por WO",Config!$B$12,IF(H103="Visitante venceu por WO",Config!$B$13,IF(OR(E103="",G103=""),"",IF(E103&gt;G103,Config!$B$8,IF(E103=G103,Config!$B$9,Config!$B$10)))))</f>
        <v/>
      </c>
      <c r="J103">
        <f>IF(H103="Visitante venceu por WO",Config!$B$12,IF(H103="Mandante venceu por WO",Config!$B$13,IF(OR(E103="",G103=""),"",IF(G103&gt;E103,Config!$B$8,IF(E103=G103,Config!$B$9,Config!$B$10)))))</f>
        <v/>
      </c>
      <c r="K103">
        <f>IF(H103="Mandante venceu por WO",D103,IF(H103="Visitante venceu por WO",F103,IF(OR(E103="",G103=""),"",IF(E103&gt;G103,D103,IF(G103&gt;E103,F103,"Empate")))))</f>
        <v/>
      </c>
    </row>
    <row r="104">
      <c r="I104">
        <f>IF(H104="Mandante venceu por WO",Config!$B$12,IF(H104="Visitante venceu por WO",Config!$B$13,IF(OR(E104="",G104=""),"",IF(E104&gt;G104,Config!$B$8,IF(E104=G104,Config!$B$9,Config!$B$10)))))</f>
        <v/>
      </c>
      <c r="J104">
        <f>IF(H104="Visitante venceu por WO",Config!$B$12,IF(H104="Mandante venceu por WO",Config!$B$13,IF(OR(E104="",G104=""),"",IF(G104&gt;E104,Config!$B$8,IF(E104=G104,Config!$B$9,Config!$B$10)))))</f>
        <v/>
      </c>
      <c r="K104">
        <f>IF(H104="Mandante venceu por WO",D104,IF(H104="Visitante venceu por WO",F104,IF(OR(E104="",G104=""),"",IF(E104&gt;G104,D104,IF(G104&gt;E104,F104,"Empate")))))</f>
        <v/>
      </c>
    </row>
    <row r="105">
      <c r="I105">
        <f>IF(H105="Mandante venceu por WO",Config!$B$12,IF(H105="Visitante venceu por WO",Config!$B$13,IF(OR(E105="",G105=""),"",IF(E105&gt;G105,Config!$B$8,IF(E105=G105,Config!$B$9,Config!$B$10)))))</f>
        <v/>
      </c>
      <c r="J105">
        <f>IF(H105="Visitante venceu por WO",Config!$B$12,IF(H105="Mandante venceu por WO",Config!$B$13,IF(OR(E105="",G105=""),"",IF(G105&gt;E105,Config!$B$8,IF(E105=G105,Config!$B$9,Config!$B$10)))))</f>
        <v/>
      </c>
      <c r="K105">
        <f>IF(H105="Mandante venceu por WO",D105,IF(H105="Visitante venceu por WO",F105,IF(OR(E105="",G105=""),"",IF(E105&gt;G105,D105,IF(G105&gt;E105,F105,"Empate")))))</f>
        <v/>
      </c>
    </row>
    <row r="106">
      <c r="I106">
        <f>IF(H106="Mandante venceu por WO",Config!$B$12,IF(H106="Visitante venceu por WO",Config!$B$13,IF(OR(E106="",G106=""),"",IF(E106&gt;G106,Config!$B$8,IF(E106=G106,Config!$B$9,Config!$B$10)))))</f>
        <v/>
      </c>
      <c r="J106">
        <f>IF(H106="Visitante venceu por WO",Config!$B$12,IF(H106="Mandante venceu por WO",Config!$B$13,IF(OR(E106="",G106=""),"",IF(G106&gt;E106,Config!$B$8,IF(E106=G106,Config!$B$9,Config!$B$10)))))</f>
        <v/>
      </c>
      <c r="K106">
        <f>IF(H106="Mandante venceu por WO",D106,IF(H106="Visitante venceu por WO",F106,IF(OR(E106="",G106=""),"",IF(E106&gt;G106,D106,IF(G106&gt;E106,F106,"Empate")))))</f>
        <v/>
      </c>
    </row>
    <row r="107">
      <c r="I107">
        <f>IF(H107="Mandante venceu por WO",Config!$B$12,IF(H107="Visitante venceu por WO",Config!$B$13,IF(OR(E107="",G107=""),"",IF(E107&gt;G107,Config!$B$8,IF(E107=G107,Config!$B$9,Config!$B$10)))))</f>
        <v/>
      </c>
      <c r="J107">
        <f>IF(H107="Visitante venceu por WO",Config!$B$12,IF(H107="Mandante venceu por WO",Config!$B$13,IF(OR(E107="",G107=""),"",IF(G107&gt;E107,Config!$B$8,IF(E107=G107,Config!$B$9,Config!$B$10)))))</f>
        <v/>
      </c>
      <c r="K107">
        <f>IF(H107="Mandante venceu por WO",D107,IF(H107="Visitante venceu por WO",F107,IF(OR(E107="",G107=""),"",IF(E107&gt;G107,D107,IF(G107&gt;E107,F107,"Empate")))))</f>
        <v/>
      </c>
    </row>
    <row r="108">
      <c r="I108">
        <f>IF(H108="Mandante venceu por WO",Config!$B$12,IF(H108="Visitante venceu por WO",Config!$B$13,IF(OR(E108="",G108=""),"",IF(E108&gt;G108,Config!$B$8,IF(E108=G108,Config!$B$9,Config!$B$10)))))</f>
        <v/>
      </c>
      <c r="J108">
        <f>IF(H108="Visitante venceu por WO",Config!$B$12,IF(H108="Mandante venceu por WO",Config!$B$13,IF(OR(E108="",G108=""),"",IF(G108&gt;E108,Config!$B$8,IF(E108=G108,Config!$B$9,Config!$B$10)))))</f>
        <v/>
      </c>
      <c r="K108">
        <f>IF(H108="Mandante venceu por WO",D108,IF(H108="Visitante venceu por WO",F108,IF(OR(E108="",G108=""),"",IF(E108&gt;G108,D108,IF(G108&gt;E108,F108,"Empate")))))</f>
        <v/>
      </c>
    </row>
    <row r="109">
      <c r="I109">
        <f>IF(H109="Mandante venceu por WO",Config!$B$12,IF(H109="Visitante venceu por WO",Config!$B$13,IF(OR(E109="",G109=""),"",IF(E109&gt;G109,Config!$B$8,IF(E109=G109,Config!$B$9,Config!$B$10)))))</f>
        <v/>
      </c>
      <c r="J109">
        <f>IF(H109="Visitante venceu por WO",Config!$B$12,IF(H109="Mandante venceu por WO",Config!$B$13,IF(OR(E109="",G109=""),"",IF(G109&gt;E109,Config!$B$8,IF(E109=G109,Config!$B$9,Config!$B$10)))))</f>
        <v/>
      </c>
      <c r="K109">
        <f>IF(H109="Mandante venceu por WO",D109,IF(H109="Visitante venceu por WO",F109,IF(OR(E109="",G109=""),"",IF(E109&gt;G109,D109,IF(G109&gt;E109,F109,"Empate")))))</f>
        <v/>
      </c>
    </row>
    <row r="110">
      <c r="I110">
        <f>IF(H110="Mandante venceu por WO",Config!$B$12,IF(H110="Visitante venceu por WO",Config!$B$13,IF(OR(E110="",G110=""),"",IF(E110&gt;G110,Config!$B$8,IF(E110=G110,Config!$B$9,Config!$B$10)))))</f>
        <v/>
      </c>
      <c r="J110">
        <f>IF(H110="Visitante venceu por WO",Config!$B$12,IF(H110="Mandante venceu por WO",Config!$B$13,IF(OR(E110="",G110=""),"",IF(G110&gt;E110,Config!$B$8,IF(E110=G110,Config!$B$9,Config!$B$10)))))</f>
        <v/>
      </c>
      <c r="K110">
        <f>IF(H110="Mandante venceu por WO",D110,IF(H110="Visitante venceu por WO",F110,IF(OR(E110="",G110=""),"",IF(E110&gt;G110,D110,IF(G110&gt;E110,F110,"Empate")))))</f>
        <v/>
      </c>
    </row>
    <row r="111">
      <c r="I111">
        <f>IF(H111="Mandante venceu por WO",Config!$B$12,IF(H111="Visitante venceu por WO",Config!$B$13,IF(OR(E111="",G111=""),"",IF(E111&gt;G111,Config!$B$8,IF(E111=G111,Config!$B$9,Config!$B$10)))))</f>
        <v/>
      </c>
      <c r="J111">
        <f>IF(H111="Visitante venceu por WO",Config!$B$12,IF(H111="Mandante venceu por WO",Config!$B$13,IF(OR(E111="",G111=""),"",IF(G111&gt;E111,Config!$B$8,IF(E111=G111,Config!$B$9,Config!$B$10)))))</f>
        <v/>
      </c>
      <c r="K111">
        <f>IF(H111="Mandante venceu por WO",D111,IF(H111="Visitante venceu por WO",F111,IF(OR(E111="",G111=""),"",IF(E111&gt;G111,D111,IF(G111&gt;E111,F111,"Empate")))))</f>
        <v/>
      </c>
    </row>
    <row r="112">
      <c r="I112">
        <f>IF(H112="Mandante venceu por WO",Config!$B$12,IF(H112="Visitante venceu por WO",Config!$B$13,IF(OR(E112="",G112=""),"",IF(E112&gt;G112,Config!$B$8,IF(E112=G112,Config!$B$9,Config!$B$10)))))</f>
        <v/>
      </c>
      <c r="J112">
        <f>IF(H112="Visitante venceu por WO",Config!$B$12,IF(H112="Mandante venceu por WO",Config!$B$13,IF(OR(E112="",G112=""),"",IF(G112&gt;E112,Config!$B$8,IF(E112=G112,Config!$B$9,Config!$B$10)))))</f>
        <v/>
      </c>
      <c r="K112">
        <f>IF(H112="Mandante venceu por WO",D112,IF(H112="Visitante venceu por WO",F112,IF(OR(E112="",G112=""),"",IF(E112&gt;G112,D112,IF(G112&gt;E112,F112,"Empate")))))</f>
        <v/>
      </c>
    </row>
    <row r="113">
      <c r="I113">
        <f>IF(H113="Mandante venceu por WO",Config!$B$12,IF(H113="Visitante venceu por WO",Config!$B$13,IF(OR(E113="",G113=""),"",IF(E113&gt;G113,Config!$B$8,IF(E113=G113,Config!$B$9,Config!$B$10)))))</f>
        <v/>
      </c>
      <c r="J113">
        <f>IF(H113="Visitante venceu por WO",Config!$B$12,IF(H113="Mandante venceu por WO",Config!$B$13,IF(OR(E113="",G113=""),"",IF(G113&gt;E113,Config!$B$8,IF(E113=G113,Config!$B$9,Config!$B$10)))))</f>
        <v/>
      </c>
      <c r="K113">
        <f>IF(H113="Mandante venceu por WO",D113,IF(H113="Visitante venceu por WO",F113,IF(OR(E113="",G113=""),"",IF(E113&gt;G113,D113,IF(G113&gt;E113,F113,"Empate")))))</f>
        <v/>
      </c>
    </row>
    <row r="114">
      <c r="I114">
        <f>IF(H114="Mandante venceu por WO",Config!$B$12,IF(H114="Visitante venceu por WO",Config!$B$13,IF(OR(E114="",G114=""),"",IF(E114&gt;G114,Config!$B$8,IF(E114=G114,Config!$B$9,Config!$B$10)))))</f>
        <v/>
      </c>
      <c r="J114">
        <f>IF(H114="Visitante venceu por WO",Config!$B$12,IF(H114="Mandante venceu por WO",Config!$B$13,IF(OR(E114="",G114=""),"",IF(G114&gt;E114,Config!$B$8,IF(E114=G114,Config!$B$9,Config!$B$10)))))</f>
        <v/>
      </c>
      <c r="K114">
        <f>IF(H114="Mandante venceu por WO",D114,IF(H114="Visitante venceu por WO",F114,IF(OR(E114="",G114=""),"",IF(E114&gt;G114,D114,IF(G114&gt;E114,F114,"Empate")))))</f>
        <v/>
      </c>
    </row>
    <row r="115">
      <c r="I115">
        <f>IF(H115="Mandante venceu por WO",Config!$B$12,IF(H115="Visitante venceu por WO",Config!$B$13,IF(OR(E115="",G115=""),"",IF(E115&gt;G115,Config!$B$8,IF(E115=G115,Config!$B$9,Config!$B$10)))))</f>
        <v/>
      </c>
      <c r="J115">
        <f>IF(H115="Visitante venceu por WO",Config!$B$12,IF(H115="Mandante venceu por WO",Config!$B$13,IF(OR(E115="",G115=""),"",IF(G115&gt;E115,Config!$B$8,IF(E115=G115,Config!$B$9,Config!$B$10)))))</f>
        <v/>
      </c>
      <c r="K115">
        <f>IF(H115="Mandante venceu por WO",D115,IF(H115="Visitante venceu por WO",F115,IF(OR(E115="",G115=""),"",IF(E115&gt;G115,D115,IF(G115&gt;E115,F115,"Empate")))))</f>
        <v/>
      </c>
    </row>
    <row r="116">
      <c r="I116">
        <f>IF(H116="Mandante venceu por WO",Config!$B$12,IF(H116="Visitante venceu por WO",Config!$B$13,IF(OR(E116="",G116=""),"",IF(E116&gt;G116,Config!$B$8,IF(E116=G116,Config!$B$9,Config!$B$10)))))</f>
        <v/>
      </c>
      <c r="J116">
        <f>IF(H116="Visitante venceu por WO",Config!$B$12,IF(H116="Mandante venceu por WO",Config!$B$13,IF(OR(E116="",G116=""),"",IF(G116&gt;E116,Config!$B$8,IF(E116=G116,Config!$B$9,Config!$B$10)))))</f>
        <v/>
      </c>
      <c r="K116">
        <f>IF(H116="Mandante venceu por WO",D116,IF(H116="Visitante venceu por WO",F116,IF(OR(E116="",G116=""),"",IF(E116&gt;G116,D116,IF(G116&gt;E116,F116,"Empate")))))</f>
        <v/>
      </c>
    </row>
    <row r="117">
      <c r="I117">
        <f>IF(H117="Mandante venceu por WO",Config!$B$12,IF(H117="Visitante venceu por WO",Config!$B$13,IF(OR(E117="",G117=""),"",IF(E117&gt;G117,Config!$B$8,IF(E117=G117,Config!$B$9,Config!$B$10)))))</f>
        <v/>
      </c>
      <c r="J117">
        <f>IF(H117="Visitante venceu por WO",Config!$B$12,IF(H117="Mandante venceu por WO",Config!$B$13,IF(OR(E117="",G117=""),"",IF(G117&gt;E117,Config!$B$8,IF(E117=G117,Config!$B$9,Config!$B$10)))))</f>
        <v/>
      </c>
      <c r="K117">
        <f>IF(H117="Mandante venceu por WO",D117,IF(H117="Visitante venceu por WO",F117,IF(OR(E117="",G117=""),"",IF(E117&gt;G117,D117,IF(G117&gt;E117,F117,"Empate")))))</f>
        <v/>
      </c>
    </row>
    <row r="118">
      <c r="I118">
        <f>IF(H118="Mandante venceu por WO",Config!$B$12,IF(H118="Visitante venceu por WO",Config!$B$13,IF(OR(E118="",G118=""),"",IF(E118&gt;G118,Config!$B$8,IF(E118=G118,Config!$B$9,Config!$B$10)))))</f>
        <v/>
      </c>
      <c r="J118">
        <f>IF(H118="Visitante venceu por WO",Config!$B$12,IF(H118="Mandante venceu por WO",Config!$B$13,IF(OR(E118="",G118=""),"",IF(G118&gt;E118,Config!$B$8,IF(E118=G118,Config!$B$9,Config!$B$10)))))</f>
        <v/>
      </c>
      <c r="K118">
        <f>IF(H118="Mandante venceu por WO",D118,IF(H118="Visitante venceu por WO",F118,IF(OR(E118="",G118=""),"",IF(E118&gt;G118,D118,IF(G118&gt;E118,F118,"Empate")))))</f>
        <v/>
      </c>
    </row>
    <row r="119">
      <c r="I119">
        <f>IF(H119="Mandante venceu por WO",Config!$B$12,IF(H119="Visitante venceu por WO",Config!$B$13,IF(OR(E119="",G119=""),"",IF(E119&gt;G119,Config!$B$8,IF(E119=G119,Config!$B$9,Config!$B$10)))))</f>
        <v/>
      </c>
      <c r="J119">
        <f>IF(H119="Visitante venceu por WO",Config!$B$12,IF(H119="Mandante venceu por WO",Config!$B$13,IF(OR(E119="",G119=""),"",IF(G119&gt;E119,Config!$B$8,IF(E119=G119,Config!$B$9,Config!$B$10)))))</f>
        <v/>
      </c>
      <c r="K119">
        <f>IF(H119="Mandante venceu por WO",D119,IF(H119="Visitante venceu por WO",F119,IF(OR(E119="",G119=""),"",IF(E119&gt;G119,D119,IF(G119&gt;E119,F119,"Empate")))))</f>
        <v/>
      </c>
    </row>
    <row r="120">
      <c r="I120">
        <f>IF(H120="Mandante venceu por WO",Config!$B$12,IF(H120="Visitante venceu por WO",Config!$B$13,IF(OR(E120="",G120=""),"",IF(E120&gt;G120,Config!$B$8,IF(E120=G120,Config!$B$9,Config!$B$10)))))</f>
        <v/>
      </c>
      <c r="J120">
        <f>IF(H120="Visitante venceu por WO",Config!$B$12,IF(H120="Mandante venceu por WO",Config!$B$13,IF(OR(E120="",G120=""),"",IF(G120&gt;E120,Config!$B$8,IF(E120=G120,Config!$B$9,Config!$B$10)))))</f>
        <v/>
      </c>
      <c r="K120">
        <f>IF(H120="Mandante venceu por WO",D120,IF(H120="Visitante venceu por WO",F120,IF(OR(E120="",G120=""),"",IF(E120&gt;G120,D120,IF(G120&gt;E120,F120,"Empate")))))</f>
        <v/>
      </c>
    </row>
    <row r="121">
      <c r="I121">
        <f>IF(H121="Mandante venceu por WO",Config!$B$12,IF(H121="Visitante venceu por WO",Config!$B$13,IF(OR(E121="",G121=""),"",IF(E121&gt;G121,Config!$B$8,IF(E121=G121,Config!$B$9,Config!$B$10)))))</f>
        <v/>
      </c>
      <c r="J121">
        <f>IF(H121="Visitante venceu por WO",Config!$B$12,IF(H121="Mandante venceu por WO",Config!$B$13,IF(OR(E121="",G121=""),"",IF(G121&gt;E121,Config!$B$8,IF(E121=G121,Config!$B$9,Config!$B$10)))))</f>
        <v/>
      </c>
      <c r="K121">
        <f>IF(H121="Mandante venceu por WO",D121,IF(H121="Visitante venceu por WO",F121,IF(OR(E121="",G121=""),"",IF(E121&gt;G121,D121,IF(G121&gt;E121,F121,"Empate")))))</f>
        <v/>
      </c>
    </row>
    <row r="122">
      <c r="I122">
        <f>IF(H122="Mandante venceu por WO",Config!$B$12,IF(H122="Visitante venceu por WO",Config!$B$13,IF(OR(E122="",G122=""),"",IF(E122&gt;G122,Config!$B$8,IF(E122=G122,Config!$B$9,Config!$B$10)))))</f>
        <v/>
      </c>
      <c r="J122">
        <f>IF(H122="Visitante venceu por WO",Config!$B$12,IF(H122="Mandante venceu por WO",Config!$B$13,IF(OR(E122="",G122=""),"",IF(G122&gt;E122,Config!$B$8,IF(E122=G122,Config!$B$9,Config!$B$10)))))</f>
        <v/>
      </c>
      <c r="K122">
        <f>IF(H122="Mandante venceu por WO",D122,IF(H122="Visitante venceu por WO",F122,IF(OR(E122="",G122=""),"",IF(E122&gt;G122,D122,IF(G122&gt;E122,F122,"Empate")))))</f>
        <v/>
      </c>
    </row>
    <row r="123">
      <c r="I123">
        <f>IF(H123="Mandante venceu por WO",Config!$B$12,IF(H123="Visitante venceu por WO",Config!$B$13,IF(OR(E123="",G123=""),"",IF(E123&gt;G123,Config!$B$8,IF(E123=G123,Config!$B$9,Config!$B$10)))))</f>
        <v/>
      </c>
      <c r="J123">
        <f>IF(H123="Visitante venceu por WO",Config!$B$12,IF(H123="Mandante venceu por WO",Config!$B$13,IF(OR(E123="",G123=""),"",IF(G123&gt;E123,Config!$B$8,IF(E123=G123,Config!$B$9,Config!$B$10)))))</f>
        <v/>
      </c>
      <c r="K123">
        <f>IF(H123="Mandante venceu por WO",D123,IF(H123="Visitante venceu por WO",F123,IF(OR(E123="",G123=""),"",IF(E123&gt;G123,D123,IF(G123&gt;E123,F123,"Empate")))))</f>
        <v/>
      </c>
    </row>
    <row r="124">
      <c r="I124">
        <f>IF(H124="Mandante venceu por WO",Config!$B$12,IF(H124="Visitante venceu por WO",Config!$B$13,IF(OR(E124="",G124=""),"",IF(E124&gt;G124,Config!$B$8,IF(E124=G124,Config!$B$9,Config!$B$10)))))</f>
        <v/>
      </c>
      <c r="J124">
        <f>IF(H124="Visitante venceu por WO",Config!$B$12,IF(H124="Mandante venceu por WO",Config!$B$13,IF(OR(E124="",G124=""),"",IF(G124&gt;E124,Config!$B$8,IF(E124=G124,Config!$B$9,Config!$B$10)))))</f>
        <v/>
      </c>
      <c r="K124">
        <f>IF(H124="Mandante venceu por WO",D124,IF(H124="Visitante venceu por WO",F124,IF(OR(E124="",G124=""),"",IF(E124&gt;G124,D124,IF(G124&gt;E124,F124,"Empate")))))</f>
        <v/>
      </c>
    </row>
    <row r="125">
      <c r="I125">
        <f>IF(H125="Mandante venceu por WO",Config!$B$12,IF(H125="Visitante venceu por WO",Config!$B$13,IF(OR(E125="",G125=""),"",IF(E125&gt;G125,Config!$B$8,IF(E125=G125,Config!$B$9,Config!$B$10)))))</f>
        <v/>
      </c>
      <c r="J125">
        <f>IF(H125="Visitante venceu por WO",Config!$B$12,IF(H125="Mandante venceu por WO",Config!$B$13,IF(OR(E125="",G125=""),"",IF(G125&gt;E125,Config!$B$8,IF(E125=G125,Config!$B$9,Config!$B$10)))))</f>
        <v/>
      </c>
      <c r="K125">
        <f>IF(H125="Mandante venceu por WO",D125,IF(H125="Visitante venceu por WO",F125,IF(OR(E125="",G125=""),"",IF(E125&gt;G125,D125,IF(G125&gt;E125,F125,"Empate")))))</f>
        <v/>
      </c>
    </row>
    <row r="126">
      <c r="I126">
        <f>IF(H126="Mandante venceu por WO",Config!$B$12,IF(H126="Visitante venceu por WO",Config!$B$13,IF(OR(E126="",G126=""),"",IF(E126&gt;G126,Config!$B$8,IF(E126=G126,Config!$B$9,Config!$B$10)))))</f>
        <v/>
      </c>
      <c r="J126">
        <f>IF(H126="Visitante venceu por WO",Config!$B$12,IF(H126="Mandante venceu por WO",Config!$B$13,IF(OR(E126="",G126=""),"",IF(G126&gt;E126,Config!$B$8,IF(E126=G126,Config!$B$9,Config!$B$10)))))</f>
        <v/>
      </c>
      <c r="K126">
        <f>IF(H126="Mandante venceu por WO",D126,IF(H126="Visitante venceu por WO",F126,IF(OR(E126="",G126=""),"",IF(E126&gt;G126,D126,IF(G126&gt;E126,F126,"Empate")))))</f>
        <v/>
      </c>
    </row>
    <row r="127">
      <c r="I127">
        <f>IF(H127="Mandante venceu por WO",Config!$B$12,IF(H127="Visitante venceu por WO",Config!$B$13,IF(OR(E127="",G127=""),"",IF(E127&gt;G127,Config!$B$8,IF(E127=G127,Config!$B$9,Config!$B$10)))))</f>
        <v/>
      </c>
      <c r="J127">
        <f>IF(H127="Visitante venceu por WO",Config!$B$12,IF(H127="Mandante venceu por WO",Config!$B$13,IF(OR(E127="",G127=""),"",IF(G127&gt;E127,Config!$B$8,IF(E127=G127,Config!$B$9,Config!$B$10)))))</f>
        <v/>
      </c>
      <c r="K127">
        <f>IF(H127="Mandante venceu por WO",D127,IF(H127="Visitante venceu por WO",F127,IF(OR(E127="",G127=""),"",IF(E127&gt;G127,D127,IF(G127&gt;E127,F127,"Empate")))))</f>
        <v/>
      </c>
    </row>
    <row r="128">
      <c r="I128">
        <f>IF(H128="Mandante venceu por WO",Config!$B$12,IF(H128="Visitante venceu por WO",Config!$B$13,IF(OR(E128="",G128=""),"",IF(E128&gt;G128,Config!$B$8,IF(E128=G128,Config!$B$9,Config!$B$10)))))</f>
        <v/>
      </c>
      <c r="J128">
        <f>IF(H128="Visitante venceu por WO",Config!$B$12,IF(H128="Mandante venceu por WO",Config!$B$13,IF(OR(E128="",G128=""),"",IF(G128&gt;E128,Config!$B$8,IF(E128=G128,Config!$B$9,Config!$B$10)))))</f>
        <v/>
      </c>
      <c r="K128">
        <f>IF(H128="Mandante venceu por WO",D128,IF(H128="Visitante venceu por WO",F128,IF(OR(E128="",G128=""),"",IF(E128&gt;G128,D128,IF(G128&gt;E128,F128,"Empate")))))</f>
        <v/>
      </c>
    </row>
    <row r="129">
      <c r="I129">
        <f>IF(H129="Mandante venceu por WO",Config!$B$12,IF(H129="Visitante venceu por WO",Config!$B$13,IF(OR(E129="",G129=""),"",IF(E129&gt;G129,Config!$B$8,IF(E129=G129,Config!$B$9,Config!$B$10)))))</f>
        <v/>
      </c>
      <c r="J129">
        <f>IF(H129="Visitante venceu por WO",Config!$B$12,IF(H129="Mandante venceu por WO",Config!$B$13,IF(OR(E129="",G129=""),"",IF(G129&gt;E129,Config!$B$8,IF(E129=G129,Config!$B$9,Config!$B$10)))))</f>
        <v/>
      </c>
      <c r="K129">
        <f>IF(H129="Mandante venceu por WO",D129,IF(H129="Visitante venceu por WO",F129,IF(OR(E129="",G129=""),"",IF(E129&gt;G129,D129,IF(G129&gt;E129,F129,"Empate")))))</f>
        <v/>
      </c>
    </row>
    <row r="130">
      <c r="I130">
        <f>IF(H130="Mandante venceu por WO",Config!$B$12,IF(H130="Visitante venceu por WO",Config!$B$13,IF(OR(E130="",G130=""),"",IF(E130&gt;G130,Config!$B$8,IF(E130=G130,Config!$B$9,Config!$B$10)))))</f>
        <v/>
      </c>
      <c r="J130">
        <f>IF(H130="Visitante venceu por WO",Config!$B$12,IF(H130="Mandante venceu por WO",Config!$B$13,IF(OR(E130="",G130=""),"",IF(G130&gt;E130,Config!$B$8,IF(E130=G130,Config!$B$9,Config!$B$10)))))</f>
        <v/>
      </c>
      <c r="K130">
        <f>IF(H130="Mandante venceu por WO",D130,IF(H130="Visitante venceu por WO",F130,IF(OR(E130="",G130=""),"",IF(E130&gt;G130,D130,IF(G130&gt;E130,F130,"Empate")))))</f>
        <v/>
      </c>
    </row>
    <row r="131">
      <c r="I131">
        <f>IF(H131="Mandante venceu por WO",Config!$B$12,IF(H131="Visitante venceu por WO",Config!$B$13,IF(OR(E131="",G131=""),"",IF(E131&gt;G131,Config!$B$8,IF(E131=G131,Config!$B$9,Config!$B$10)))))</f>
        <v/>
      </c>
      <c r="J131">
        <f>IF(H131="Visitante venceu por WO",Config!$B$12,IF(H131="Mandante venceu por WO",Config!$B$13,IF(OR(E131="",G131=""),"",IF(G131&gt;E131,Config!$B$8,IF(E131=G131,Config!$B$9,Config!$B$10)))))</f>
        <v/>
      </c>
      <c r="K131">
        <f>IF(H131="Mandante venceu por WO",D131,IF(H131="Visitante venceu por WO",F131,IF(OR(E131="",G131=""),"",IF(E131&gt;G131,D131,IF(G131&gt;E131,F131,"Empate")))))</f>
        <v/>
      </c>
    </row>
    <row r="132">
      <c r="I132">
        <f>IF(H132="Mandante venceu por WO",Config!$B$12,IF(H132="Visitante venceu por WO",Config!$B$13,IF(OR(E132="",G132=""),"",IF(E132&gt;G132,Config!$B$8,IF(E132=G132,Config!$B$9,Config!$B$10)))))</f>
        <v/>
      </c>
      <c r="J132">
        <f>IF(H132="Visitante venceu por WO",Config!$B$12,IF(H132="Mandante venceu por WO",Config!$B$13,IF(OR(E132="",G132=""),"",IF(G132&gt;E132,Config!$B$8,IF(E132=G132,Config!$B$9,Config!$B$10)))))</f>
        <v/>
      </c>
      <c r="K132">
        <f>IF(H132="Mandante venceu por WO",D132,IF(H132="Visitante venceu por WO",F132,IF(OR(E132="",G132=""),"",IF(E132&gt;G132,D132,IF(G132&gt;E132,F132,"Empate")))))</f>
        <v/>
      </c>
    </row>
    <row r="133">
      <c r="I133">
        <f>IF(H133="Mandante venceu por WO",Config!$B$12,IF(H133="Visitante venceu por WO",Config!$B$13,IF(OR(E133="",G133=""),"",IF(E133&gt;G133,Config!$B$8,IF(E133=G133,Config!$B$9,Config!$B$10)))))</f>
        <v/>
      </c>
      <c r="J133">
        <f>IF(H133="Visitante venceu por WO",Config!$B$12,IF(H133="Mandante venceu por WO",Config!$B$13,IF(OR(E133="",G133=""),"",IF(G133&gt;E133,Config!$B$8,IF(E133=G133,Config!$B$9,Config!$B$10)))))</f>
        <v/>
      </c>
      <c r="K133">
        <f>IF(H133="Mandante venceu por WO",D133,IF(H133="Visitante venceu por WO",F133,IF(OR(E133="",G133=""),"",IF(E133&gt;G133,D133,IF(G133&gt;E133,F133,"Empate")))))</f>
        <v/>
      </c>
    </row>
    <row r="134">
      <c r="I134">
        <f>IF(H134="Mandante venceu por WO",Config!$B$12,IF(H134="Visitante venceu por WO",Config!$B$13,IF(OR(E134="",G134=""),"",IF(E134&gt;G134,Config!$B$8,IF(E134=G134,Config!$B$9,Config!$B$10)))))</f>
        <v/>
      </c>
      <c r="J134">
        <f>IF(H134="Visitante venceu por WO",Config!$B$12,IF(H134="Mandante venceu por WO",Config!$B$13,IF(OR(E134="",G134=""),"",IF(G134&gt;E134,Config!$B$8,IF(E134=G134,Config!$B$9,Config!$B$10)))))</f>
        <v/>
      </c>
      <c r="K134">
        <f>IF(H134="Mandante venceu por WO",D134,IF(H134="Visitante venceu por WO",F134,IF(OR(E134="",G134=""),"",IF(E134&gt;G134,D134,IF(G134&gt;E134,F134,"Empate")))))</f>
        <v/>
      </c>
    </row>
    <row r="135">
      <c r="I135">
        <f>IF(H135="Mandante venceu por WO",Config!$B$12,IF(H135="Visitante venceu por WO",Config!$B$13,IF(OR(E135="",G135=""),"",IF(E135&gt;G135,Config!$B$8,IF(E135=G135,Config!$B$9,Config!$B$10)))))</f>
        <v/>
      </c>
      <c r="J135">
        <f>IF(H135="Visitante venceu por WO",Config!$B$12,IF(H135="Mandante venceu por WO",Config!$B$13,IF(OR(E135="",G135=""),"",IF(G135&gt;E135,Config!$B$8,IF(E135=G135,Config!$B$9,Config!$B$10)))))</f>
        <v/>
      </c>
      <c r="K135">
        <f>IF(H135="Mandante venceu por WO",D135,IF(H135="Visitante venceu por WO",F135,IF(OR(E135="",G135=""),"",IF(E135&gt;G135,D135,IF(G135&gt;E135,F135,"Empate")))))</f>
        <v/>
      </c>
    </row>
    <row r="136">
      <c r="I136">
        <f>IF(H136="Mandante venceu por WO",Config!$B$12,IF(H136="Visitante venceu por WO",Config!$B$13,IF(OR(E136="",G136=""),"",IF(E136&gt;G136,Config!$B$8,IF(E136=G136,Config!$B$9,Config!$B$10)))))</f>
        <v/>
      </c>
      <c r="J136">
        <f>IF(H136="Visitante venceu por WO",Config!$B$12,IF(H136="Mandante venceu por WO",Config!$B$13,IF(OR(E136="",G136=""),"",IF(G136&gt;E136,Config!$B$8,IF(E136=G136,Config!$B$9,Config!$B$10)))))</f>
        <v/>
      </c>
      <c r="K136">
        <f>IF(H136="Mandante venceu por WO",D136,IF(H136="Visitante venceu por WO",F136,IF(OR(E136="",G136=""),"",IF(E136&gt;G136,D136,IF(G136&gt;E136,F136,"Empate")))))</f>
        <v/>
      </c>
    </row>
    <row r="137">
      <c r="I137">
        <f>IF(H137="Mandante venceu por WO",Config!$B$12,IF(H137="Visitante venceu por WO",Config!$B$13,IF(OR(E137="",G137=""),"",IF(E137&gt;G137,Config!$B$8,IF(E137=G137,Config!$B$9,Config!$B$10)))))</f>
        <v/>
      </c>
      <c r="J137">
        <f>IF(H137="Visitante venceu por WO",Config!$B$12,IF(H137="Mandante venceu por WO",Config!$B$13,IF(OR(E137="",G137=""),"",IF(G137&gt;E137,Config!$B$8,IF(E137=G137,Config!$B$9,Config!$B$10)))))</f>
        <v/>
      </c>
      <c r="K137">
        <f>IF(H137="Mandante venceu por WO",D137,IF(H137="Visitante venceu por WO",F137,IF(OR(E137="",G137=""),"",IF(E137&gt;G137,D137,IF(G137&gt;E137,F137,"Empate")))))</f>
        <v/>
      </c>
    </row>
    <row r="138">
      <c r="I138">
        <f>IF(H138="Mandante venceu por WO",Config!$B$12,IF(H138="Visitante venceu por WO",Config!$B$13,IF(OR(E138="",G138=""),"",IF(E138&gt;G138,Config!$B$8,IF(E138=G138,Config!$B$9,Config!$B$10)))))</f>
        <v/>
      </c>
      <c r="J138">
        <f>IF(H138="Visitante venceu por WO",Config!$B$12,IF(H138="Mandante venceu por WO",Config!$B$13,IF(OR(E138="",G138=""),"",IF(G138&gt;E138,Config!$B$8,IF(E138=G138,Config!$B$9,Config!$B$10)))))</f>
        <v/>
      </c>
      <c r="K138">
        <f>IF(H138="Mandante venceu por WO",D138,IF(H138="Visitante venceu por WO",F138,IF(OR(E138="",G138=""),"",IF(E138&gt;G138,D138,IF(G138&gt;E138,F138,"Empate")))))</f>
        <v/>
      </c>
    </row>
    <row r="139">
      <c r="I139">
        <f>IF(H139="Mandante venceu por WO",Config!$B$12,IF(H139="Visitante venceu por WO",Config!$B$13,IF(OR(E139="",G139=""),"",IF(E139&gt;G139,Config!$B$8,IF(E139=G139,Config!$B$9,Config!$B$10)))))</f>
        <v/>
      </c>
      <c r="J139">
        <f>IF(H139="Visitante venceu por WO",Config!$B$12,IF(H139="Mandante venceu por WO",Config!$B$13,IF(OR(E139="",G139=""),"",IF(G139&gt;E139,Config!$B$8,IF(E139=G139,Config!$B$9,Config!$B$10)))))</f>
        <v/>
      </c>
      <c r="K139">
        <f>IF(H139="Mandante venceu por WO",D139,IF(H139="Visitante venceu por WO",F139,IF(OR(E139="",G139=""),"",IF(E139&gt;G139,D139,IF(G139&gt;E139,F139,"Empate")))))</f>
        <v/>
      </c>
    </row>
    <row r="140">
      <c r="I140">
        <f>IF(H140="Mandante venceu por WO",Config!$B$12,IF(H140="Visitante venceu por WO",Config!$B$13,IF(OR(E140="",G140=""),"",IF(E140&gt;G140,Config!$B$8,IF(E140=G140,Config!$B$9,Config!$B$10)))))</f>
        <v/>
      </c>
      <c r="J140">
        <f>IF(H140="Visitante venceu por WO",Config!$B$12,IF(H140="Mandante venceu por WO",Config!$B$13,IF(OR(E140="",G140=""),"",IF(G140&gt;E140,Config!$B$8,IF(E140=G140,Config!$B$9,Config!$B$10)))))</f>
        <v/>
      </c>
      <c r="K140">
        <f>IF(H140="Mandante venceu por WO",D140,IF(H140="Visitante venceu por WO",F140,IF(OR(E140="",G140=""),"",IF(E140&gt;G140,D140,IF(G140&gt;E140,F140,"Empate")))))</f>
        <v/>
      </c>
    </row>
    <row r="141">
      <c r="I141">
        <f>IF(H141="Mandante venceu por WO",Config!$B$12,IF(H141="Visitante venceu por WO",Config!$B$13,IF(OR(E141="",G141=""),"",IF(E141&gt;G141,Config!$B$8,IF(E141=G141,Config!$B$9,Config!$B$10)))))</f>
        <v/>
      </c>
      <c r="J141">
        <f>IF(H141="Visitante venceu por WO",Config!$B$12,IF(H141="Mandante venceu por WO",Config!$B$13,IF(OR(E141="",G141=""),"",IF(G141&gt;E141,Config!$B$8,IF(E141=G141,Config!$B$9,Config!$B$10)))))</f>
        <v/>
      </c>
      <c r="K141">
        <f>IF(H141="Mandante venceu por WO",D141,IF(H141="Visitante venceu por WO",F141,IF(OR(E141="",G141=""),"",IF(E141&gt;G141,D141,IF(G141&gt;E141,F141,"Empate")))))</f>
        <v/>
      </c>
    </row>
    <row r="142">
      <c r="I142">
        <f>IF(H142="Mandante venceu por WO",Config!$B$12,IF(H142="Visitante venceu por WO",Config!$B$13,IF(OR(E142="",G142=""),"",IF(E142&gt;G142,Config!$B$8,IF(E142=G142,Config!$B$9,Config!$B$10)))))</f>
        <v/>
      </c>
      <c r="J142">
        <f>IF(H142="Visitante venceu por WO",Config!$B$12,IF(H142="Mandante venceu por WO",Config!$B$13,IF(OR(E142="",G142=""),"",IF(G142&gt;E142,Config!$B$8,IF(E142=G142,Config!$B$9,Config!$B$10)))))</f>
        <v/>
      </c>
      <c r="K142">
        <f>IF(H142="Mandante venceu por WO",D142,IF(H142="Visitante venceu por WO",F142,IF(OR(E142="",G142=""),"",IF(E142&gt;G142,D142,IF(G142&gt;E142,F142,"Empate")))))</f>
        <v/>
      </c>
    </row>
    <row r="143">
      <c r="I143">
        <f>IF(H143="Mandante venceu por WO",Config!$B$12,IF(H143="Visitante venceu por WO",Config!$B$13,IF(OR(E143="",G143=""),"",IF(E143&gt;G143,Config!$B$8,IF(E143=G143,Config!$B$9,Config!$B$10)))))</f>
        <v/>
      </c>
      <c r="J143">
        <f>IF(H143="Visitante venceu por WO",Config!$B$12,IF(H143="Mandante venceu por WO",Config!$B$13,IF(OR(E143="",G143=""),"",IF(G143&gt;E143,Config!$B$8,IF(E143=G143,Config!$B$9,Config!$B$10)))))</f>
        <v/>
      </c>
      <c r="K143">
        <f>IF(H143="Mandante venceu por WO",D143,IF(H143="Visitante venceu por WO",F143,IF(OR(E143="",G143=""),"",IF(E143&gt;G143,D143,IF(G143&gt;E143,F143,"Empate")))))</f>
        <v/>
      </c>
    </row>
    <row r="144">
      <c r="I144">
        <f>IF(H144="Mandante venceu por WO",Config!$B$12,IF(H144="Visitante venceu por WO",Config!$B$13,IF(OR(E144="",G144=""),"",IF(E144&gt;G144,Config!$B$8,IF(E144=G144,Config!$B$9,Config!$B$10)))))</f>
        <v/>
      </c>
      <c r="J144">
        <f>IF(H144="Visitante venceu por WO",Config!$B$12,IF(H144="Mandante venceu por WO",Config!$B$13,IF(OR(E144="",G144=""),"",IF(G144&gt;E144,Config!$B$8,IF(E144=G144,Config!$B$9,Config!$B$10)))))</f>
        <v/>
      </c>
      <c r="K144">
        <f>IF(H144="Mandante venceu por WO",D144,IF(H144="Visitante venceu por WO",F144,IF(OR(E144="",G144=""),"",IF(E144&gt;G144,D144,IF(G144&gt;E144,F144,"Empate")))))</f>
        <v/>
      </c>
    </row>
    <row r="145">
      <c r="I145">
        <f>IF(H145="Mandante venceu por WO",Config!$B$12,IF(H145="Visitante venceu por WO",Config!$B$13,IF(OR(E145="",G145=""),"",IF(E145&gt;G145,Config!$B$8,IF(E145=G145,Config!$B$9,Config!$B$10)))))</f>
        <v/>
      </c>
      <c r="J145">
        <f>IF(H145="Visitante venceu por WO",Config!$B$12,IF(H145="Mandante venceu por WO",Config!$B$13,IF(OR(E145="",G145=""),"",IF(G145&gt;E145,Config!$B$8,IF(E145=G145,Config!$B$9,Config!$B$10)))))</f>
        <v/>
      </c>
      <c r="K145">
        <f>IF(H145="Mandante venceu por WO",D145,IF(H145="Visitante venceu por WO",F145,IF(OR(E145="",G145=""),"",IF(E145&gt;G145,D145,IF(G145&gt;E145,F145,"Empate")))))</f>
        <v/>
      </c>
    </row>
    <row r="146">
      <c r="I146">
        <f>IF(H146="Mandante venceu por WO",Config!$B$12,IF(H146="Visitante venceu por WO",Config!$B$13,IF(OR(E146="",G146=""),"",IF(E146&gt;G146,Config!$B$8,IF(E146=G146,Config!$B$9,Config!$B$10)))))</f>
        <v/>
      </c>
      <c r="J146">
        <f>IF(H146="Visitante venceu por WO",Config!$B$12,IF(H146="Mandante venceu por WO",Config!$B$13,IF(OR(E146="",G146=""),"",IF(G146&gt;E146,Config!$B$8,IF(E146=G146,Config!$B$9,Config!$B$10)))))</f>
        <v/>
      </c>
      <c r="K146">
        <f>IF(H146="Mandante venceu por WO",D146,IF(H146="Visitante venceu por WO",F146,IF(OR(E146="",G146=""),"",IF(E146&gt;G146,D146,IF(G146&gt;E146,F146,"Empate")))))</f>
        <v/>
      </c>
    </row>
    <row r="147">
      <c r="I147">
        <f>IF(H147="Mandante venceu por WO",Config!$B$12,IF(H147="Visitante venceu por WO",Config!$B$13,IF(OR(E147="",G147=""),"",IF(E147&gt;G147,Config!$B$8,IF(E147=G147,Config!$B$9,Config!$B$10)))))</f>
        <v/>
      </c>
      <c r="J147">
        <f>IF(H147="Visitante venceu por WO",Config!$B$12,IF(H147="Mandante venceu por WO",Config!$B$13,IF(OR(E147="",G147=""),"",IF(G147&gt;E147,Config!$B$8,IF(E147=G147,Config!$B$9,Config!$B$10)))))</f>
        <v/>
      </c>
      <c r="K147">
        <f>IF(H147="Mandante venceu por WO",D147,IF(H147="Visitante venceu por WO",F147,IF(OR(E147="",G147=""),"",IF(E147&gt;G147,D147,IF(G147&gt;E147,F147,"Empate")))))</f>
        <v/>
      </c>
    </row>
    <row r="148">
      <c r="I148">
        <f>IF(H148="Mandante venceu por WO",Config!$B$12,IF(H148="Visitante venceu por WO",Config!$B$13,IF(OR(E148="",G148=""),"",IF(E148&gt;G148,Config!$B$8,IF(E148=G148,Config!$B$9,Config!$B$10)))))</f>
        <v/>
      </c>
      <c r="J148">
        <f>IF(H148="Visitante venceu por WO",Config!$B$12,IF(H148="Mandante venceu por WO",Config!$B$13,IF(OR(E148="",G148=""),"",IF(G148&gt;E148,Config!$B$8,IF(E148=G148,Config!$B$9,Config!$B$10)))))</f>
        <v/>
      </c>
      <c r="K148">
        <f>IF(H148="Mandante venceu por WO",D148,IF(H148="Visitante venceu por WO",F148,IF(OR(E148="",G148=""),"",IF(E148&gt;G148,D148,IF(G148&gt;E148,F148,"Empate")))))</f>
        <v/>
      </c>
    </row>
    <row r="149">
      <c r="I149">
        <f>IF(H149="Mandante venceu por WO",Config!$B$12,IF(H149="Visitante venceu por WO",Config!$B$13,IF(OR(E149="",G149=""),"",IF(E149&gt;G149,Config!$B$8,IF(E149=G149,Config!$B$9,Config!$B$10)))))</f>
        <v/>
      </c>
      <c r="J149">
        <f>IF(H149="Visitante venceu por WO",Config!$B$12,IF(H149="Mandante venceu por WO",Config!$B$13,IF(OR(E149="",G149=""),"",IF(G149&gt;E149,Config!$B$8,IF(E149=G149,Config!$B$9,Config!$B$10)))))</f>
        <v/>
      </c>
      <c r="K149">
        <f>IF(H149="Mandante venceu por WO",D149,IF(H149="Visitante venceu por WO",F149,IF(OR(E149="",G149=""),"",IF(E149&gt;G149,D149,IF(G149&gt;E149,F149,"Empate")))))</f>
        <v/>
      </c>
    </row>
    <row r="150">
      <c r="I150">
        <f>IF(H150="Mandante venceu por WO",Config!$B$12,IF(H150="Visitante venceu por WO",Config!$B$13,IF(OR(E150="",G150=""),"",IF(E150&gt;G150,Config!$B$8,IF(E150=G150,Config!$B$9,Config!$B$10)))))</f>
        <v/>
      </c>
      <c r="J150">
        <f>IF(H150="Visitante venceu por WO",Config!$B$12,IF(H150="Mandante venceu por WO",Config!$B$13,IF(OR(E150="",G150=""),"",IF(G150&gt;E150,Config!$B$8,IF(E150=G150,Config!$B$9,Config!$B$10)))))</f>
        <v/>
      </c>
      <c r="K150">
        <f>IF(H150="Mandante venceu por WO",D150,IF(H150="Visitante venceu por WO",F150,IF(OR(E150="",G150=""),"",IF(E150&gt;G150,D150,IF(G150&gt;E150,F150,"Empate")))))</f>
        <v/>
      </c>
    </row>
    <row r="151">
      <c r="I151">
        <f>IF(H151="Mandante venceu por WO",Config!$B$12,IF(H151="Visitante venceu por WO",Config!$B$13,IF(OR(E151="",G151=""),"",IF(E151&gt;G151,Config!$B$8,IF(E151=G151,Config!$B$9,Config!$B$10)))))</f>
        <v/>
      </c>
      <c r="J151">
        <f>IF(H151="Visitante venceu por WO",Config!$B$12,IF(H151="Mandante venceu por WO",Config!$B$13,IF(OR(E151="",G151=""),"",IF(G151&gt;E151,Config!$B$8,IF(E151=G151,Config!$B$9,Config!$B$10)))))</f>
        <v/>
      </c>
      <c r="K151">
        <f>IF(H151="Mandante venceu por WO",D151,IF(H151="Visitante venceu por WO",F151,IF(OR(E151="",G151=""),"",IF(E151&gt;G151,D151,IF(G151&gt;E151,F151,"Empate")))))</f>
        <v/>
      </c>
    </row>
    <row r="152">
      <c r="I152">
        <f>IF(H152="Mandante venceu por WO",Config!$B$12,IF(H152="Visitante venceu por WO",Config!$B$13,IF(OR(E152="",G152=""),"",IF(E152&gt;G152,Config!$B$8,IF(E152=G152,Config!$B$9,Config!$B$10)))))</f>
        <v/>
      </c>
      <c r="J152">
        <f>IF(H152="Visitante venceu por WO",Config!$B$12,IF(H152="Mandante venceu por WO",Config!$B$13,IF(OR(E152="",G152=""),"",IF(G152&gt;E152,Config!$B$8,IF(E152=G152,Config!$B$9,Config!$B$10)))))</f>
        <v/>
      </c>
      <c r="K152">
        <f>IF(H152="Mandante venceu por WO",D152,IF(H152="Visitante venceu por WO",F152,IF(OR(E152="",G152=""),"",IF(E152&gt;G152,D152,IF(G152&gt;E152,F152,"Empate")))))</f>
        <v/>
      </c>
    </row>
    <row r="153">
      <c r="I153">
        <f>IF(H153="Mandante venceu por WO",Config!$B$12,IF(H153="Visitante venceu por WO",Config!$B$13,IF(OR(E153="",G153=""),"",IF(E153&gt;G153,Config!$B$8,IF(E153=G153,Config!$B$9,Config!$B$10)))))</f>
        <v/>
      </c>
      <c r="J153">
        <f>IF(H153="Visitante venceu por WO",Config!$B$12,IF(H153="Mandante venceu por WO",Config!$B$13,IF(OR(E153="",G153=""),"",IF(G153&gt;E153,Config!$B$8,IF(E153=G153,Config!$B$9,Config!$B$10)))))</f>
        <v/>
      </c>
      <c r="K153">
        <f>IF(H153="Mandante venceu por WO",D153,IF(H153="Visitante venceu por WO",F153,IF(OR(E153="",G153=""),"",IF(E153&gt;G153,D153,IF(G153&gt;E153,F153,"Empate")))))</f>
        <v/>
      </c>
    </row>
    <row r="154">
      <c r="I154">
        <f>IF(H154="Mandante venceu por WO",Config!$B$12,IF(H154="Visitante venceu por WO",Config!$B$13,IF(OR(E154="",G154=""),"",IF(E154&gt;G154,Config!$B$8,IF(E154=G154,Config!$B$9,Config!$B$10)))))</f>
        <v/>
      </c>
      <c r="J154">
        <f>IF(H154="Visitante venceu por WO",Config!$B$12,IF(H154="Mandante venceu por WO",Config!$B$13,IF(OR(E154="",G154=""),"",IF(G154&gt;E154,Config!$B$8,IF(E154=G154,Config!$B$9,Config!$B$10)))))</f>
        <v/>
      </c>
      <c r="K154">
        <f>IF(H154="Mandante venceu por WO",D154,IF(H154="Visitante venceu por WO",F154,IF(OR(E154="",G154=""),"",IF(E154&gt;G154,D154,IF(G154&gt;E154,F154,"Empate")))))</f>
        <v/>
      </c>
    </row>
    <row r="155">
      <c r="I155">
        <f>IF(H155="Mandante venceu por WO",Config!$B$12,IF(H155="Visitante venceu por WO",Config!$B$13,IF(OR(E155="",G155=""),"",IF(E155&gt;G155,Config!$B$8,IF(E155=G155,Config!$B$9,Config!$B$10)))))</f>
        <v/>
      </c>
      <c r="J155">
        <f>IF(H155="Visitante venceu por WO",Config!$B$12,IF(H155="Mandante venceu por WO",Config!$B$13,IF(OR(E155="",G155=""),"",IF(G155&gt;E155,Config!$B$8,IF(E155=G155,Config!$B$9,Config!$B$10)))))</f>
        <v/>
      </c>
      <c r="K155">
        <f>IF(H155="Mandante venceu por WO",D155,IF(H155="Visitante venceu por WO",F155,IF(OR(E155="",G155=""),"",IF(E155&gt;G155,D155,IF(G155&gt;E155,F155,"Empate")))))</f>
        <v/>
      </c>
    </row>
    <row r="156">
      <c r="I156">
        <f>IF(H156="Mandante venceu por WO",Config!$B$12,IF(H156="Visitante venceu por WO",Config!$B$13,IF(OR(E156="",G156=""),"",IF(E156&gt;G156,Config!$B$8,IF(E156=G156,Config!$B$9,Config!$B$10)))))</f>
        <v/>
      </c>
      <c r="J156">
        <f>IF(H156="Visitante venceu por WO",Config!$B$12,IF(H156="Mandante venceu por WO",Config!$B$13,IF(OR(E156="",G156=""),"",IF(G156&gt;E156,Config!$B$8,IF(E156=G156,Config!$B$9,Config!$B$10)))))</f>
        <v/>
      </c>
      <c r="K156">
        <f>IF(H156="Mandante venceu por WO",D156,IF(H156="Visitante venceu por WO",F156,IF(OR(E156="",G156=""),"",IF(E156&gt;G156,D156,IF(G156&gt;E156,F156,"Empate")))))</f>
        <v/>
      </c>
    </row>
    <row r="157">
      <c r="I157">
        <f>IF(H157="Mandante venceu por WO",Config!$B$12,IF(H157="Visitante venceu por WO",Config!$B$13,IF(OR(E157="",G157=""),"",IF(E157&gt;G157,Config!$B$8,IF(E157=G157,Config!$B$9,Config!$B$10)))))</f>
        <v/>
      </c>
      <c r="J157">
        <f>IF(H157="Visitante venceu por WO",Config!$B$12,IF(H157="Mandante venceu por WO",Config!$B$13,IF(OR(E157="",G157=""),"",IF(G157&gt;E157,Config!$B$8,IF(E157=G157,Config!$B$9,Config!$B$10)))))</f>
        <v/>
      </c>
      <c r="K157">
        <f>IF(H157="Mandante venceu por WO",D157,IF(H157="Visitante venceu por WO",F157,IF(OR(E157="",G157=""),"",IF(E157&gt;G157,D157,IF(G157&gt;E157,F157,"Empate")))))</f>
        <v/>
      </c>
    </row>
    <row r="158">
      <c r="I158">
        <f>IF(H158="Mandante venceu por WO",Config!$B$12,IF(H158="Visitante venceu por WO",Config!$B$13,IF(OR(E158="",G158=""),"",IF(E158&gt;G158,Config!$B$8,IF(E158=G158,Config!$B$9,Config!$B$10)))))</f>
        <v/>
      </c>
      <c r="J158">
        <f>IF(H158="Visitante venceu por WO",Config!$B$12,IF(H158="Mandante venceu por WO",Config!$B$13,IF(OR(E158="",G158=""),"",IF(G158&gt;E158,Config!$B$8,IF(E158=G158,Config!$B$9,Config!$B$10)))))</f>
        <v/>
      </c>
      <c r="K158">
        <f>IF(H158="Mandante venceu por WO",D158,IF(H158="Visitante venceu por WO",F158,IF(OR(E158="",G158=""),"",IF(E158&gt;G158,D158,IF(G158&gt;E158,F158,"Empate")))))</f>
        <v/>
      </c>
    </row>
    <row r="159">
      <c r="I159">
        <f>IF(H159="Mandante venceu por WO",Config!$B$12,IF(H159="Visitante venceu por WO",Config!$B$13,IF(OR(E159="",G159=""),"",IF(E159&gt;G159,Config!$B$8,IF(E159=G159,Config!$B$9,Config!$B$10)))))</f>
        <v/>
      </c>
      <c r="J159">
        <f>IF(H159="Visitante venceu por WO",Config!$B$12,IF(H159="Mandante venceu por WO",Config!$B$13,IF(OR(E159="",G159=""),"",IF(G159&gt;E159,Config!$B$8,IF(E159=G159,Config!$B$9,Config!$B$10)))))</f>
        <v/>
      </c>
      <c r="K159">
        <f>IF(H159="Mandante venceu por WO",D159,IF(H159="Visitante venceu por WO",F159,IF(OR(E159="",G159=""),"",IF(E159&gt;G159,D159,IF(G159&gt;E159,F159,"Empate")))))</f>
        <v/>
      </c>
    </row>
    <row r="160">
      <c r="I160">
        <f>IF(H160="Mandante venceu por WO",Config!$B$12,IF(H160="Visitante venceu por WO",Config!$B$13,IF(OR(E160="",G160=""),"",IF(E160&gt;G160,Config!$B$8,IF(E160=G160,Config!$B$9,Config!$B$10)))))</f>
        <v/>
      </c>
      <c r="J160">
        <f>IF(H160="Visitante venceu por WO",Config!$B$12,IF(H160="Mandante venceu por WO",Config!$B$13,IF(OR(E160="",G160=""),"",IF(G160&gt;E160,Config!$B$8,IF(E160=G160,Config!$B$9,Config!$B$10)))))</f>
        <v/>
      </c>
      <c r="K160">
        <f>IF(H160="Mandante venceu por WO",D160,IF(H160="Visitante venceu por WO",F160,IF(OR(E160="",G160=""),"",IF(E160&gt;G160,D160,IF(G160&gt;E160,F160,"Empate")))))</f>
        <v/>
      </c>
    </row>
    <row r="161">
      <c r="I161">
        <f>IF(H161="Mandante venceu por WO",Config!$B$12,IF(H161="Visitante venceu por WO",Config!$B$13,IF(OR(E161="",G161=""),"",IF(E161&gt;G161,Config!$B$8,IF(E161=G161,Config!$B$9,Config!$B$10)))))</f>
        <v/>
      </c>
      <c r="J161">
        <f>IF(H161="Visitante venceu por WO",Config!$B$12,IF(H161="Mandante venceu por WO",Config!$B$13,IF(OR(E161="",G161=""),"",IF(G161&gt;E161,Config!$B$8,IF(E161=G161,Config!$B$9,Config!$B$10)))))</f>
        <v/>
      </c>
      <c r="K161">
        <f>IF(H161="Mandante venceu por WO",D161,IF(H161="Visitante venceu por WO",F161,IF(OR(E161="",G161=""),"",IF(E161&gt;G161,D161,IF(G161&gt;E161,F161,"Empate")))))</f>
        <v/>
      </c>
    </row>
    <row r="162">
      <c r="I162">
        <f>IF(H162="Mandante venceu por WO",Config!$B$12,IF(H162="Visitante venceu por WO",Config!$B$13,IF(OR(E162="",G162=""),"",IF(E162&gt;G162,Config!$B$8,IF(E162=G162,Config!$B$9,Config!$B$10)))))</f>
        <v/>
      </c>
      <c r="J162">
        <f>IF(H162="Visitante venceu por WO",Config!$B$12,IF(H162="Mandante venceu por WO",Config!$B$13,IF(OR(E162="",G162=""),"",IF(G162&gt;E162,Config!$B$8,IF(E162=G162,Config!$B$9,Config!$B$10)))))</f>
        <v/>
      </c>
      <c r="K162">
        <f>IF(H162="Mandante venceu por WO",D162,IF(H162="Visitante venceu por WO",F162,IF(OR(E162="",G162=""),"",IF(E162&gt;G162,D162,IF(G162&gt;E162,F162,"Empate")))))</f>
        <v/>
      </c>
    </row>
    <row r="163">
      <c r="I163">
        <f>IF(H163="Mandante venceu por WO",Config!$B$12,IF(H163="Visitante venceu por WO",Config!$B$13,IF(OR(E163="",G163=""),"",IF(E163&gt;G163,Config!$B$8,IF(E163=G163,Config!$B$9,Config!$B$10)))))</f>
        <v/>
      </c>
      <c r="J163">
        <f>IF(H163="Visitante venceu por WO",Config!$B$12,IF(H163="Mandante venceu por WO",Config!$B$13,IF(OR(E163="",G163=""),"",IF(G163&gt;E163,Config!$B$8,IF(E163=G163,Config!$B$9,Config!$B$10)))))</f>
        <v/>
      </c>
      <c r="K163">
        <f>IF(H163="Mandante venceu por WO",D163,IF(H163="Visitante venceu por WO",F163,IF(OR(E163="",G163=""),"",IF(E163&gt;G163,D163,IF(G163&gt;E163,F163,"Empate")))))</f>
        <v/>
      </c>
    </row>
    <row r="164">
      <c r="I164">
        <f>IF(H164="Mandante venceu por WO",Config!$B$12,IF(H164="Visitante venceu por WO",Config!$B$13,IF(OR(E164="",G164=""),"",IF(E164&gt;G164,Config!$B$8,IF(E164=G164,Config!$B$9,Config!$B$10)))))</f>
        <v/>
      </c>
      <c r="J164">
        <f>IF(H164="Visitante venceu por WO",Config!$B$12,IF(H164="Mandante venceu por WO",Config!$B$13,IF(OR(E164="",G164=""),"",IF(G164&gt;E164,Config!$B$8,IF(E164=G164,Config!$B$9,Config!$B$10)))))</f>
        <v/>
      </c>
      <c r="K164">
        <f>IF(H164="Mandante venceu por WO",D164,IF(H164="Visitante venceu por WO",F164,IF(OR(E164="",G164=""),"",IF(E164&gt;G164,D164,IF(G164&gt;E164,F164,"Empate")))))</f>
        <v/>
      </c>
    </row>
    <row r="165">
      <c r="I165">
        <f>IF(H165="Mandante venceu por WO",Config!$B$12,IF(H165="Visitante venceu por WO",Config!$B$13,IF(OR(E165="",G165=""),"",IF(E165&gt;G165,Config!$B$8,IF(E165=G165,Config!$B$9,Config!$B$10)))))</f>
        <v/>
      </c>
      <c r="J165">
        <f>IF(H165="Visitante venceu por WO",Config!$B$12,IF(H165="Mandante venceu por WO",Config!$B$13,IF(OR(E165="",G165=""),"",IF(G165&gt;E165,Config!$B$8,IF(E165=G165,Config!$B$9,Config!$B$10)))))</f>
        <v/>
      </c>
      <c r="K165">
        <f>IF(H165="Mandante venceu por WO",D165,IF(H165="Visitante venceu por WO",F165,IF(OR(E165="",G165=""),"",IF(E165&gt;G165,D165,IF(G165&gt;E165,F165,"Empate")))))</f>
        <v/>
      </c>
    </row>
    <row r="166">
      <c r="I166">
        <f>IF(H166="Mandante venceu por WO",Config!$B$12,IF(H166="Visitante venceu por WO",Config!$B$13,IF(OR(E166="",G166=""),"",IF(E166&gt;G166,Config!$B$8,IF(E166=G166,Config!$B$9,Config!$B$10)))))</f>
        <v/>
      </c>
      <c r="J166">
        <f>IF(H166="Visitante venceu por WO",Config!$B$12,IF(H166="Mandante venceu por WO",Config!$B$13,IF(OR(E166="",G166=""),"",IF(G166&gt;E166,Config!$B$8,IF(E166=G166,Config!$B$9,Config!$B$10)))))</f>
        <v/>
      </c>
      <c r="K166">
        <f>IF(H166="Mandante venceu por WO",D166,IF(H166="Visitante venceu por WO",F166,IF(OR(E166="",G166=""),"",IF(E166&gt;G166,D166,IF(G166&gt;E166,F166,"Empate")))))</f>
        <v/>
      </c>
    </row>
    <row r="167">
      <c r="I167">
        <f>IF(H167="Mandante venceu por WO",Config!$B$12,IF(H167="Visitante venceu por WO",Config!$B$13,IF(OR(E167="",G167=""),"",IF(E167&gt;G167,Config!$B$8,IF(E167=G167,Config!$B$9,Config!$B$10)))))</f>
        <v/>
      </c>
      <c r="J167">
        <f>IF(H167="Visitante venceu por WO",Config!$B$12,IF(H167="Mandante venceu por WO",Config!$B$13,IF(OR(E167="",G167=""),"",IF(G167&gt;E167,Config!$B$8,IF(E167=G167,Config!$B$9,Config!$B$10)))))</f>
        <v/>
      </c>
      <c r="K167">
        <f>IF(H167="Mandante venceu por WO",D167,IF(H167="Visitante venceu por WO",F167,IF(OR(E167="",G167=""),"",IF(E167&gt;G167,D167,IF(G167&gt;E167,F167,"Empate")))))</f>
        <v/>
      </c>
    </row>
    <row r="168">
      <c r="I168">
        <f>IF(H168="Mandante venceu por WO",Config!$B$12,IF(H168="Visitante venceu por WO",Config!$B$13,IF(OR(E168="",G168=""),"",IF(E168&gt;G168,Config!$B$8,IF(E168=G168,Config!$B$9,Config!$B$10)))))</f>
        <v/>
      </c>
      <c r="J168">
        <f>IF(H168="Visitante venceu por WO",Config!$B$12,IF(H168="Mandante venceu por WO",Config!$B$13,IF(OR(E168="",G168=""),"",IF(G168&gt;E168,Config!$B$8,IF(E168=G168,Config!$B$9,Config!$B$10)))))</f>
        <v/>
      </c>
      <c r="K168">
        <f>IF(H168="Mandante venceu por WO",D168,IF(H168="Visitante venceu por WO",F168,IF(OR(E168="",G168=""),"",IF(E168&gt;G168,D168,IF(G168&gt;E168,F168,"Empate")))))</f>
        <v/>
      </c>
    </row>
    <row r="169">
      <c r="I169">
        <f>IF(H169="Mandante venceu por WO",Config!$B$12,IF(H169="Visitante venceu por WO",Config!$B$13,IF(OR(E169="",G169=""),"",IF(E169&gt;G169,Config!$B$8,IF(E169=G169,Config!$B$9,Config!$B$10)))))</f>
        <v/>
      </c>
      <c r="J169">
        <f>IF(H169="Visitante venceu por WO",Config!$B$12,IF(H169="Mandante venceu por WO",Config!$B$13,IF(OR(E169="",G169=""),"",IF(G169&gt;E169,Config!$B$8,IF(E169=G169,Config!$B$9,Config!$B$10)))))</f>
        <v/>
      </c>
      <c r="K169">
        <f>IF(H169="Mandante venceu por WO",D169,IF(H169="Visitante venceu por WO",F169,IF(OR(E169="",G169=""),"",IF(E169&gt;G169,D169,IF(G169&gt;E169,F169,"Empate")))))</f>
        <v/>
      </c>
    </row>
    <row r="170">
      <c r="I170">
        <f>IF(H170="Mandante venceu por WO",Config!$B$12,IF(H170="Visitante venceu por WO",Config!$B$13,IF(OR(E170="",G170=""),"",IF(E170&gt;G170,Config!$B$8,IF(E170=G170,Config!$B$9,Config!$B$10)))))</f>
        <v/>
      </c>
      <c r="J170">
        <f>IF(H170="Visitante venceu por WO",Config!$B$12,IF(H170="Mandante venceu por WO",Config!$B$13,IF(OR(E170="",G170=""),"",IF(G170&gt;E170,Config!$B$8,IF(E170=G170,Config!$B$9,Config!$B$10)))))</f>
        <v/>
      </c>
      <c r="K170">
        <f>IF(H170="Mandante venceu por WO",D170,IF(H170="Visitante venceu por WO",F170,IF(OR(E170="",G170=""),"",IF(E170&gt;G170,D170,IF(G170&gt;E170,F170,"Empate")))))</f>
        <v/>
      </c>
    </row>
    <row r="171">
      <c r="I171">
        <f>IF(H171="Mandante venceu por WO",Config!$B$12,IF(H171="Visitante venceu por WO",Config!$B$13,IF(OR(E171="",G171=""),"",IF(E171&gt;G171,Config!$B$8,IF(E171=G171,Config!$B$9,Config!$B$10)))))</f>
        <v/>
      </c>
      <c r="J171">
        <f>IF(H171="Visitante venceu por WO",Config!$B$12,IF(H171="Mandante venceu por WO",Config!$B$13,IF(OR(E171="",G171=""),"",IF(G171&gt;E171,Config!$B$8,IF(E171=G171,Config!$B$9,Config!$B$10)))))</f>
        <v/>
      </c>
      <c r="K171">
        <f>IF(H171="Mandante venceu por WO",D171,IF(H171="Visitante venceu por WO",F171,IF(OR(E171="",G171=""),"",IF(E171&gt;G171,D171,IF(G171&gt;E171,F171,"Empate")))))</f>
        <v/>
      </c>
    </row>
    <row r="172">
      <c r="I172">
        <f>IF(H172="Mandante venceu por WO",Config!$B$12,IF(H172="Visitante venceu por WO",Config!$B$13,IF(OR(E172="",G172=""),"",IF(E172&gt;G172,Config!$B$8,IF(E172=G172,Config!$B$9,Config!$B$10)))))</f>
        <v/>
      </c>
      <c r="J172">
        <f>IF(H172="Visitante venceu por WO",Config!$B$12,IF(H172="Mandante venceu por WO",Config!$B$13,IF(OR(E172="",G172=""),"",IF(G172&gt;E172,Config!$B$8,IF(E172=G172,Config!$B$9,Config!$B$10)))))</f>
        <v/>
      </c>
      <c r="K172">
        <f>IF(H172="Mandante venceu por WO",D172,IF(H172="Visitante venceu por WO",F172,IF(OR(E172="",G172=""),"",IF(E172&gt;G172,D172,IF(G172&gt;E172,F172,"Empate")))))</f>
        <v/>
      </c>
    </row>
    <row r="173">
      <c r="I173">
        <f>IF(H173="Mandante venceu por WO",Config!$B$12,IF(H173="Visitante venceu por WO",Config!$B$13,IF(OR(E173="",G173=""),"",IF(E173&gt;G173,Config!$B$8,IF(E173=G173,Config!$B$9,Config!$B$10)))))</f>
        <v/>
      </c>
      <c r="J173">
        <f>IF(H173="Visitante venceu por WO",Config!$B$12,IF(H173="Mandante venceu por WO",Config!$B$13,IF(OR(E173="",G173=""),"",IF(G173&gt;E173,Config!$B$8,IF(E173=G173,Config!$B$9,Config!$B$10)))))</f>
        <v/>
      </c>
      <c r="K173">
        <f>IF(H173="Mandante venceu por WO",D173,IF(H173="Visitante venceu por WO",F173,IF(OR(E173="",G173=""),"",IF(E173&gt;G173,D173,IF(G173&gt;E173,F173,"Empate")))))</f>
        <v/>
      </c>
    </row>
    <row r="174">
      <c r="I174">
        <f>IF(H174="Mandante venceu por WO",Config!$B$12,IF(H174="Visitante venceu por WO",Config!$B$13,IF(OR(E174="",G174=""),"",IF(E174&gt;G174,Config!$B$8,IF(E174=G174,Config!$B$9,Config!$B$10)))))</f>
        <v/>
      </c>
      <c r="J174">
        <f>IF(H174="Visitante venceu por WO",Config!$B$12,IF(H174="Mandante venceu por WO",Config!$B$13,IF(OR(E174="",G174=""),"",IF(G174&gt;E174,Config!$B$8,IF(E174=G174,Config!$B$9,Config!$B$10)))))</f>
        <v/>
      </c>
      <c r="K174">
        <f>IF(H174="Mandante venceu por WO",D174,IF(H174="Visitante venceu por WO",F174,IF(OR(E174="",G174=""),"",IF(E174&gt;G174,D174,IF(G174&gt;E174,F174,"Empate")))))</f>
        <v/>
      </c>
    </row>
    <row r="175">
      <c r="I175">
        <f>IF(H175="Mandante venceu por WO",Config!$B$12,IF(H175="Visitante venceu por WO",Config!$B$13,IF(OR(E175="",G175=""),"",IF(E175&gt;G175,Config!$B$8,IF(E175=G175,Config!$B$9,Config!$B$10)))))</f>
        <v/>
      </c>
      <c r="J175">
        <f>IF(H175="Visitante venceu por WO",Config!$B$12,IF(H175="Mandante venceu por WO",Config!$B$13,IF(OR(E175="",G175=""),"",IF(G175&gt;E175,Config!$B$8,IF(E175=G175,Config!$B$9,Config!$B$10)))))</f>
        <v/>
      </c>
      <c r="K175">
        <f>IF(H175="Mandante venceu por WO",D175,IF(H175="Visitante venceu por WO",F175,IF(OR(E175="",G175=""),"",IF(E175&gt;G175,D175,IF(G175&gt;E175,F175,"Empate")))))</f>
        <v/>
      </c>
    </row>
    <row r="176">
      <c r="I176">
        <f>IF(H176="Mandante venceu por WO",Config!$B$12,IF(H176="Visitante venceu por WO",Config!$B$13,IF(OR(E176="",G176=""),"",IF(E176&gt;G176,Config!$B$8,IF(E176=G176,Config!$B$9,Config!$B$10)))))</f>
        <v/>
      </c>
      <c r="J176">
        <f>IF(H176="Visitante venceu por WO",Config!$B$12,IF(H176="Mandante venceu por WO",Config!$B$13,IF(OR(E176="",G176=""),"",IF(G176&gt;E176,Config!$B$8,IF(E176=G176,Config!$B$9,Config!$B$10)))))</f>
        <v/>
      </c>
      <c r="K176">
        <f>IF(H176="Mandante venceu por WO",D176,IF(H176="Visitante venceu por WO",F176,IF(OR(E176="",G176=""),"",IF(E176&gt;G176,D176,IF(G176&gt;E176,F176,"Empate")))))</f>
        <v/>
      </c>
    </row>
    <row r="177">
      <c r="I177">
        <f>IF(H177="Mandante venceu por WO",Config!$B$12,IF(H177="Visitante venceu por WO",Config!$B$13,IF(OR(E177="",G177=""),"",IF(E177&gt;G177,Config!$B$8,IF(E177=G177,Config!$B$9,Config!$B$10)))))</f>
        <v/>
      </c>
      <c r="J177">
        <f>IF(H177="Visitante venceu por WO",Config!$B$12,IF(H177="Mandante venceu por WO",Config!$B$13,IF(OR(E177="",G177=""),"",IF(G177&gt;E177,Config!$B$8,IF(E177=G177,Config!$B$9,Config!$B$10)))))</f>
        <v/>
      </c>
      <c r="K177">
        <f>IF(H177="Mandante venceu por WO",D177,IF(H177="Visitante venceu por WO",F177,IF(OR(E177="",G177=""),"",IF(E177&gt;G177,D177,IF(G177&gt;E177,F177,"Empate")))))</f>
        <v/>
      </c>
    </row>
    <row r="178">
      <c r="I178">
        <f>IF(H178="Mandante venceu por WO",Config!$B$12,IF(H178="Visitante venceu por WO",Config!$B$13,IF(OR(E178="",G178=""),"",IF(E178&gt;G178,Config!$B$8,IF(E178=G178,Config!$B$9,Config!$B$10)))))</f>
        <v/>
      </c>
      <c r="J178">
        <f>IF(H178="Visitante venceu por WO",Config!$B$12,IF(H178="Mandante venceu por WO",Config!$B$13,IF(OR(E178="",G178=""),"",IF(G178&gt;E178,Config!$B$8,IF(E178=G178,Config!$B$9,Config!$B$10)))))</f>
        <v/>
      </c>
      <c r="K178">
        <f>IF(H178="Mandante venceu por WO",D178,IF(H178="Visitante venceu por WO",F178,IF(OR(E178="",G178=""),"",IF(E178&gt;G178,D178,IF(G178&gt;E178,F178,"Empate")))))</f>
        <v/>
      </c>
    </row>
    <row r="179">
      <c r="I179">
        <f>IF(H179="Mandante venceu por WO",Config!$B$12,IF(H179="Visitante venceu por WO",Config!$B$13,IF(OR(E179="",G179=""),"",IF(E179&gt;G179,Config!$B$8,IF(E179=G179,Config!$B$9,Config!$B$10)))))</f>
        <v/>
      </c>
      <c r="J179">
        <f>IF(H179="Visitante venceu por WO",Config!$B$12,IF(H179="Mandante venceu por WO",Config!$B$13,IF(OR(E179="",G179=""),"",IF(G179&gt;E179,Config!$B$8,IF(E179=G179,Config!$B$9,Config!$B$10)))))</f>
        <v/>
      </c>
      <c r="K179">
        <f>IF(H179="Mandante venceu por WO",D179,IF(H179="Visitante venceu por WO",F179,IF(OR(E179="",G179=""),"",IF(E179&gt;G179,D179,IF(G179&gt;E179,F179,"Empate")))))</f>
        <v/>
      </c>
    </row>
    <row r="180">
      <c r="I180">
        <f>IF(H180="Mandante venceu por WO",Config!$B$12,IF(H180="Visitante venceu por WO",Config!$B$13,IF(OR(E180="",G180=""),"",IF(E180&gt;G180,Config!$B$8,IF(E180=G180,Config!$B$9,Config!$B$10)))))</f>
        <v/>
      </c>
      <c r="J180">
        <f>IF(H180="Visitante venceu por WO",Config!$B$12,IF(H180="Mandante venceu por WO",Config!$B$13,IF(OR(E180="",G180=""),"",IF(G180&gt;E180,Config!$B$8,IF(E180=G180,Config!$B$9,Config!$B$10)))))</f>
        <v/>
      </c>
      <c r="K180">
        <f>IF(H180="Mandante venceu por WO",D180,IF(H180="Visitante venceu por WO",F180,IF(OR(E180="",G180=""),"",IF(E180&gt;G180,D180,IF(G180&gt;E180,F180,"Empate")))))</f>
        <v/>
      </c>
    </row>
    <row r="181">
      <c r="I181">
        <f>IF(H181="Mandante venceu por WO",Config!$B$12,IF(H181="Visitante venceu por WO",Config!$B$13,IF(OR(E181="",G181=""),"",IF(E181&gt;G181,Config!$B$8,IF(E181=G181,Config!$B$9,Config!$B$10)))))</f>
        <v/>
      </c>
      <c r="J181">
        <f>IF(H181="Visitante venceu por WO",Config!$B$12,IF(H181="Mandante venceu por WO",Config!$B$13,IF(OR(E181="",G181=""),"",IF(G181&gt;E181,Config!$B$8,IF(E181=G181,Config!$B$9,Config!$B$10)))))</f>
        <v/>
      </c>
      <c r="K181">
        <f>IF(H181="Mandante venceu por WO",D181,IF(H181="Visitante venceu por WO",F181,IF(OR(E181="",G181=""),"",IF(E181&gt;G181,D181,IF(G181&gt;E181,F181,"Empate")))))</f>
        <v/>
      </c>
    </row>
    <row r="182">
      <c r="I182">
        <f>IF(H182="Mandante venceu por WO",Config!$B$12,IF(H182="Visitante venceu por WO",Config!$B$13,IF(OR(E182="",G182=""),"",IF(E182&gt;G182,Config!$B$8,IF(E182=G182,Config!$B$9,Config!$B$10)))))</f>
        <v/>
      </c>
      <c r="J182">
        <f>IF(H182="Visitante venceu por WO",Config!$B$12,IF(H182="Mandante venceu por WO",Config!$B$13,IF(OR(E182="",G182=""),"",IF(G182&gt;E182,Config!$B$8,IF(E182=G182,Config!$B$9,Config!$B$10)))))</f>
        <v/>
      </c>
      <c r="K182">
        <f>IF(H182="Mandante venceu por WO",D182,IF(H182="Visitante venceu por WO",F182,IF(OR(E182="",G182=""),"",IF(E182&gt;G182,D182,IF(G182&gt;E182,F182,"Empate")))))</f>
        <v/>
      </c>
    </row>
    <row r="183">
      <c r="I183">
        <f>IF(H183="Mandante venceu por WO",Config!$B$12,IF(H183="Visitante venceu por WO",Config!$B$13,IF(OR(E183="",G183=""),"",IF(E183&gt;G183,Config!$B$8,IF(E183=G183,Config!$B$9,Config!$B$10)))))</f>
        <v/>
      </c>
      <c r="J183">
        <f>IF(H183="Visitante venceu por WO",Config!$B$12,IF(H183="Mandante venceu por WO",Config!$B$13,IF(OR(E183="",G183=""),"",IF(G183&gt;E183,Config!$B$8,IF(E183=G183,Config!$B$9,Config!$B$10)))))</f>
        <v/>
      </c>
      <c r="K183">
        <f>IF(H183="Mandante venceu por WO",D183,IF(H183="Visitante venceu por WO",F183,IF(OR(E183="",G183=""),"",IF(E183&gt;G183,D183,IF(G183&gt;E183,F183,"Empate")))))</f>
        <v/>
      </c>
    </row>
    <row r="184">
      <c r="I184">
        <f>IF(H184="Mandante venceu por WO",Config!$B$12,IF(H184="Visitante venceu por WO",Config!$B$13,IF(OR(E184="",G184=""),"",IF(E184&gt;G184,Config!$B$8,IF(E184=G184,Config!$B$9,Config!$B$10)))))</f>
        <v/>
      </c>
      <c r="J184">
        <f>IF(H184="Visitante venceu por WO",Config!$B$12,IF(H184="Mandante venceu por WO",Config!$B$13,IF(OR(E184="",G184=""),"",IF(G184&gt;E184,Config!$B$8,IF(E184=G184,Config!$B$9,Config!$B$10)))))</f>
        <v/>
      </c>
      <c r="K184">
        <f>IF(H184="Mandante venceu por WO",D184,IF(H184="Visitante venceu por WO",F184,IF(OR(E184="",G184=""),"",IF(E184&gt;G184,D184,IF(G184&gt;E184,F184,"Empate")))))</f>
        <v/>
      </c>
    </row>
    <row r="185">
      <c r="I185">
        <f>IF(H185="Mandante venceu por WO",Config!$B$12,IF(H185="Visitante venceu por WO",Config!$B$13,IF(OR(E185="",G185=""),"",IF(E185&gt;G185,Config!$B$8,IF(E185=G185,Config!$B$9,Config!$B$10)))))</f>
        <v/>
      </c>
      <c r="J185">
        <f>IF(H185="Visitante venceu por WO",Config!$B$12,IF(H185="Mandante venceu por WO",Config!$B$13,IF(OR(E185="",G185=""),"",IF(G185&gt;E185,Config!$B$8,IF(E185=G185,Config!$B$9,Config!$B$10)))))</f>
        <v/>
      </c>
      <c r="K185">
        <f>IF(H185="Mandante venceu por WO",D185,IF(H185="Visitante venceu por WO",F185,IF(OR(E185="",G185=""),"",IF(E185&gt;G185,D185,IF(G185&gt;E185,F185,"Empate")))))</f>
        <v/>
      </c>
    </row>
    <row r="186">
      <c r="I186">
        <f>IF(H186="Mandante venceu por WO",Config!$B$12,IF(H186="Visitante venceu por WO",Config!$B$13,IF(OR(E186="",G186=""),"",IF(E186&gt;G186,Config!$B$8,IF(E186=G186,Config!$B$9,Config!$B$10)))))</f>
        <v/>
      </c>
      <c r="J186">
        <f>IF(H186="Visitante venceu por WO",Config!$B$12,IF(H186="Mandante venceu por WO",Config!$B$13,IF(OR(E186="",G186=""),"",IF(G186&gt;E186,Config!$B$8,IF(E186=G186,Config!$B$9,Config!$B$10)))))</f>
        <v/>
      </c>
      <c r="K186">
        <f>IF(H186="Mandante venceu por WO",D186,IF(H186="Visitante venceu por WO",F186,IF(OR(E186="",G186=""),"",IF(E186&gt;G186,D186,IF(G186&gt;E186,F186,"Empate")))))</f>
        <v/>
      </c>
    </row>
    <row r="187">
      <c r="I187">
        <f>IF(H187="Mandante venceu por WO",Config!$B$12,IF(H187="Visitante venceu por WO",Config!$B$13,IF(OR(E187="",G187=""),"",IF(E187&gt;G187,Config!$B$8,IF(E187=G187,Config!$B$9,Config!$B$10)))))</f>
        <v/>
      </c>
      <c r="J187">
        <f>IF(H187="Visitante venceu por WO",Config!$B$12,IF(H187="Mandante venceu por WO",Config!$B$13,IF(OR(E187="",G187=""),"",IF(G187&gt;E187,Config!$B$8,IF(E187=G187,Config!$B$9,Config!$B$10)))))</f>
        <v/>
      </c>
      <c r="K187">
        <f>IF(H187="Mandante venceu por WO",D187,IF(H187="Visitante venceu por WO",F187,IF(OR(E187="",G187=""),"",IF(E187&gt;G187,D187,IF(G187&gt;E187,F187,"Empate")))))</f>
        <v/>
      </c>
    </row>
    <row r="188">
      <c r="I188">
        <f>IF(H188="Mandante venceu por WO",Config!$B$12,IF(H188="Visitante venceu por WO",Config!$B$13,IF(OR(E188="",G188=""),"",IF(E188&gt;G188,Config!$B$8,IF(E188=G188,Config!$B$9,Config!$B$10)))))</f>
        <v/>
      </c>
      <c r="J188">
        <f>IF(H188="Visitante venceu por WO",Config!$B$12,IF(H188="Mandante venceu por WO",Config!$B$13,IF(OR(E188="",G188=""),"",IF(G188&gt;E188,Config!$B$8,IF(E188=G188,Config!$B$9,Config!$B$10)))))</f>
        <v/>
      </c>
      <c r="K188">
        <f>IF(H188="Mandante venceu por WO",D188,IF(H188="Visitante venceu por WO",F188,IF(OR(E188="",G188=""),"",IF(E188&gt;G188,D188,IF(G188&gt;E188,F188,"Empate")))))</f>
        <v/>
      </c>
    </row>
    <row r="189">
      <c r="I189">
        <f>IF(H189="Mandante venceu por WO",Config!$B$12,IF(H189="Visitante venceu por WO",Config!$B$13,IF(OR(E189="",G189=""),"",IF(E189&gt;G189,Config!$B$8,IF(E189=G189,Config!$B$9,Config!$B$10)))))</f>
        <v/>
      </c>
      <c r="J189">
        <f>IF(H189="Visitante venceu por WO",Config!$B$12,IF(H189="Mandante venceu por WO",Config!$B$13,IF(OR(E189="",G189=""),"",IF(G189&gt;E189,Config!$B$8,IF(E189=G189,Config!$B$9,Config!$B$10)))))</f>
        <v/>
      </c>
      <c r="K189">
        <f>IF(H189="Mandante venceu por WO",D189,IF(H189="Visitante venceu por WO",F189,IF(OR(E189="",G189=""),"",IF(E189&gt;G189,D189,IF(G189&gt;E189,F189,"Empate")))))</f>
        <v/>
      </c>
    </row>
    <row r="190">
      <c r="I190">
        <f>IF(H190="Mandante venceu por WO",Config!$B$12,IF(H190="Visitante venceu por WO",Config!$B$13,IF(OR(E190="",G190=""),"",IF(E190&gt;G190,Config!$B$8,IF(E190=G190,Config!$B$9,Config!$B$10)))))</f>
        <v/>
      </c>
      <c r="J190">
        <f>IF(H190="Visitante venceu por WO",Config!$B$12,IF(H190="Mandante venceu por WO",Config!$B$13,IF(OR(E190="",G190=""),"",IF(G190&gt;E190,Config!$B$8,IF(E190=G190,Config!$B$9,Config!$B$10)))))</f>
        <v/>
      </c>
      <c r="K190">
        <f>IF(H190="Mandante venceu por WO",D190,IF(H190="Visitante venceu por WO",F190,IF(OR(E190="",G190=""),"",IF(E190&gt;G190,D190,IF(G190&gt;E190,F190,"Empate")))))</f>
        <v/>
      </c>
    </row>
    <row r="191">
      <c r="I191">
        <f>IF(H191="Mandante venceu por WO",Config!$B$12,IF(H191="Visitante venceu por WO",Config!$B$13,IF(OR(E191="",G191=""),"",IF(E191&gt;G191,Config!$B$8,IF(E191=G191,Config!$B$9,Config!$B$10)))))</f>
        <v/>
      </c>
      <c r="J191">
        <f>IF(H191="Visitante venceu por WO",Config!$B$12,IF(H191="Mandante venceu por WO",Config!$B$13,IF(OR(E191="",G191=""),"",IF(G191&gt;E191,Config!$B$8,IF(E191=G191,Config!$B$9,Config!$B$10)))))</f>
        <v/>
      </c>
      <c r="K191">
        <f>IF(H191="Mandante venceu por WO",D191,IF(H191="Visitante venceu por WO",F191,IF(OR(E191="",G191=""),"",IF(E191&gt;G191,D191,IF(G191&gt;E191,F191,"Empate")))))</f>
        <v/>
      </c>
    </row>
    <row r="192">
      <c r="I192">
        <f>IF(H192="Mandante venceu por WO",Config!$B$12,IF(H192="Visitante venceu por WO",Config!$B$13,IF(OR(E192="",G192=""),"",IF(E192&gt;G192,Config!$B$8,IF(E192=G192,Config!$B$9,Config!$B$10)))))</f>
        <v/>
      </c>
      <c r="J192">
        <f>IF(H192="Visitante venceu por WO",Config!$B$12,IF(H192="Mandante venceu por WO",Config!$B$13,IF(OR(E192="",G192=""),"",IF(G192&gt;E192,Config!$B$8,IF(E192=G192,Config!$B$9,Config!$B$10)))))</f>
        <v/>
      </c>
      <c r="K192">
        <f>IF(H192="Mandante venceu por WO",D192,IF(H192="Visitante venceu por WO",F192,IF(OR(E192="",G192=""),"",IF(E192&gt;G192,D192,IF(G192&gt;E192,F192,"Empate")))))</f>
        <v/>
      </c>
    </row>
    <row r="193">
      <c r="I193">
        <f>IF(H193="Mandante venceu por WO",Config!$B$12,IF(H193="Visitante venceu por WO",Config!$B$13,IF(OR(E193="",G193=""),"",IF(E193&gt;G193,Config!$B$8,IF(E193=G193,Config!$B$9,Config!$B$10)))))</f>
        <v/>
      </c>
      <c r="J193">
        <f>IF(H193="Visitante venceu por WO",Config!$B$12,IF(H193="Mandante venceu por WO",Config!$B$13,IF(OR(E193="",G193=""),"",IF(G193&gt;E193,Config!$B$8,IF(E193=G193,Config!$B$9,Config!$B$10)))))</f>
        <v/>
      </c>
      <c r="K193">
        <f>IF(H193="Mandante venceu por WO",D193,IF(H193="Visitante venceu por WO",F193,IF(OR(E193="",G193=""),"",IF(E193&gt;G193,D193,IF(G193&gt;E193,F193,"Empate")))))</f>
        <v/>
      </c>
    </row>
    <row r="194">
      <c r="I194">
        <f>IF(H194="Mandante venceu por WO",Config!$B$12,IF(H194="Visitante venceu por WO",Config!$B$13,IF(OR(E194="",G194=""),"",IF(E194&gt;G194,Config!$B$8,IF(E194=G194,Config!$B$9,Config!$B$10)))))</f>
        <v/>
      </c>
      <c r="J194">
        <f>IF(H194="Visitante venceu por WO",Config!$B$12,IF(H194="Mandante venceu por WO",Config!$B$13,IF(OR(E194="",G194=""),"",IF(G194&gt;E194,Config!$B$8,IF(E194=G194,Config!$B$9,Config!$B$10)))))</f>
        <v/>
      </c>
      <c r="K194">
        <f>IF(H194="Mandante venceu por WO",D194,IF(H194="Visitante venceu por WO",F194,IF(OR(E194="",G194=""),"",IF(E194&gt;G194,D194,IF(G194&gt;E194,F194,"Empate")))))</f>
        <v/>
      </c>
    </row>
    <row r="195">
      <c r="I195">
        <f>IF(H195="Mandante venceu por WO",Config!$B$12,IF(H195="Visitante venceu por WO",Config!$B$13,IF(OR(E195="",G195=""),"",IF(E195&gt;G195,Config!$B$8,IF(E195=G195,Config!$B$9,Config!$B$10)))))</f>
        <v/>
      </c>
      <c r="J195">
        <f>IF(H195="Visitante venceu por WO",Config!$B$12,IF(H195="Mandante venceu por WO",Config!$B$13,IF(OR(E195="",G195=""),"",IF(G195&gt;E195,Config!$B$8,IF(E195=G195,Config!$B$9,Config!$B$10)))))</f>
        <v/>
      </c>
      <c r="K195">
        <f>IF(H195="Mandante venceu por WO",D195,IF(H195="Visitante venceu por WO",F195,IF(OR(E195="",G195=""),"",IF(E195&gt;G195,D195,IF(G195&gt;E195,F195,"Empate")))))</f>
        <v/>
      </c>
    </row>
    <row r="196">
      <c r="I196">
        <f>IF(H196="Mandante venceu por WO",Config!$B$12,IF(H196="Visitante venceu por WO",Config!$B$13,IF(OR(E196="",G196=""),"",IF(E196&gt;G196,Config!$B$8,IF(E196=G196,Config!$B$9,Config!$B$10)))))</f>
        <v/>
      </c>
      <c r="J196">
        <f>IF(H196="Visitante venceu por WO",Config!$B$12,IF(H196="Mandante venceu por WO",Config!$B$13,IF(OR(E196="",G196=""),"",IF(G196&gt;E196,Config!$B$8,IF(E196=G196,Config!$B$9,Config!$B$10)))))</f>
        <v/>
      </c>
      <c r="K196">
        <f>IF(H196="Mandante venceu por WO",D196,IF(H196="Visitante venceu por WO",F196,IF(OR(E196="",G196=""),"",IF(E196&gt;G196,D196,IF(G196&gt;E196,F196,"Empate")))))</f>
        <v/>
      </c>
    </row>
    <row r="197">
      <c r="I197">
        <f>IF(H197="Mandante venceu por WO",Config!$B$12,IF(H197="Visitante venceu por WO",Config!$B$13,IF(OR(E197="",G197=""),"",IF(E197&gt;G197,Config!$B$8,IF(E197=G197,Config!$B$9,Config!$B$10)))))</f>
        <v/>
      </c>
      <c r="J197">
        <f>IF(H197="Visitante venceu por WO",Config!$B$12,IF(H197="Mandante venceu por WO",Config!$B$13,IF(OR(E197="",G197=""),"",IF(G197&gt;E197,Config!$B$8,IF(E197=G197,Config!$B$9,Config!$B$10)))))</f>
        <v/>
      </c>
      <c r="K197">
        <f>IF(H197="Mandante venceu por WO",D197,IF(H197="Visitante venceu por WO",F197,IF(OR(E197="",G197=""),"",IF(E197&gt;G197,D197,IF(G197&gt;E197,F197,"Empate")))))</f>
        <v/>
      </c>
    </row>
    <row r="198">
      <c r="I198">
        <f>IF(H198="Mandante venceu por WO",Config!$B$12,IF(H198="Visitante venceu por WO",Config!$B$13,IF(OR(E198="",G198=""),"",IF(E198&gt;G198,Config!$B$8,IF(E198=G198,Config!$B$9,Config!$B$10)))))</f>
        <v/>
      </c>
      <c r="J198">
        <f>IF(H198="Visitante venceu por WO",Config!$B$12,IF(H198="Mandante venceu por WO",Config!$B$13,IF(OR(E198="",G198=""),"",IF(G198&gt;E198,Config!$B$8,IF(E198=G198,Config!$B$9,Config!$B$10)))))</f>
        <v/>
      </c>
      <c r="K198">
        <f>IF(H198="Mandante venceu por WO",D198,IF(H198="Visitante venceu por WO",F198,IF(OR(E198="",G198=""),"",IF(E198&gt;G198,D198,IF(G198&gt;E198,F198,"Empate")))))</f>
        <v/>
      </c>
    </row>
    <row r="199">
      <c r="I199">
        <f>IF(H199="Mandante venceu por WO",Config!$B$12,IF(H199="Visitante venceu por WO",Config!$B$13,IF(OR(E199="",G199=""),"",IF(E199&gt;G199,Config!$B$8,IF(E199=G199,Config!$B$9,Config!$B$10)))))</f>
        <v/>
      </c>
      <c r="J199">
        <f>IF(H199="Visitante venceu por WO",Config!$B$12,IF(H199="Mandante venceu por WO",Config!$B$13,IF(OR(E199="",G199=""),"",IF(G199&gt;E199,Config!$B$8,IF(E199=G199,Config!$B$9,Config!$B$10)))))</f>
        <v/>
      </c>
      <c r="K199">
        <f>IF(H199="Mandante venceu por WO",D199,IF(H199="Visitante venceu por WO",F199,IF(OR(E199="",G199=""),"",IF(E199&gt;G199,D199,IF(G199&gt;E199,F199,"Empate")))))</f>
        <v/>
      </c>
    </row>
    <row r="200">
      <c r="I200">
        <f>IF(H200="Mandante venceu por WO",Config!$B$12,IF(H200="Visitante venceu por WO",Config!$B$13,IF(OR(E200="",G200=""),"",IF(E200&gt;G200,Config!$B$8,IF(E200=G200,Config!$B$9,Config!$B$10)))))</f>
        <v/>
      </c>
      <c r="J200">
        <f>IF(H200="Visitante venceu por WO",Config!$B$12,IF(H200="Mandante venceu por WO",Config!$B$13,IF(OR(E200="",G200=""),"",IF(G200&gt;E200,Config!$B$8,IF(E200=G200,Config!$B$9,Config!$B$10)))))</f>
        <v/>
      </c>
      <c r="K200">
        <f>IF(H200="Mandante venceu por WO",D200,IF(H200="Visitante venceu por WO",F200,IF(OR(E200="",G200=""),"",IF(E200&gt;G200,D200,IF(G200&gt;E200,F200,"Empate")))))</f>
        <v/>
      </c>
    </row>
    <row r="201">
      <c r="I201">
        <f>IF(H201="Mandante venceu por WO",Config!$B$12,IF(H201="Visitante venceu por WO",Config!$B$13,IF(OR(E201="",G201=""),"",IF(E201&gt;G201,Config!$B$8,IF(E201=G201,Config!$B$9,Config!$B$10)))))</f>
        <v/>
      </c>
      <c r="J201">
        <f>IF(H201="Visitante venceu por WO",Config!$B$12,IF(H201="Mandante venceu por WO",Config!$B$13,IF(OR(E201="",G201=""),"",IF(G201&gt;E201,Config!$B$8,IF(E201=G201,Config!$B$9,Config!$B$10)))))</f>
        <v/>
      </c>
      <c r="K201">
        <f>IF(H201="Mandante venceu por WO",D201,IF(H201="Visitante venceu por WO",F201,IF(OR(E201="",G201=""),"",IF(E201&gt;G201,D201,IF(G201&gt;E201,F201,"Empate")))))</f>
        <v/>
      </c>
    </row>
  </sheetData>
  <autoFilter ref="A1:K201"/>
  <conditionalFormatting sqref="A2:K201">
    <cfRule type="expression" priority="1" dxfId="1">
      <formula>$A2="Grupo A"</formula>
    </cfRule>
    <cfRule type="expression" priority="2" dxfId="2">
      <formula>$A2="Grupo B"</formula>
    </cfRule>
    <cfRule type="expression" priority="3" dxfId="3">
      <formula>$A2="Grupo C"</formula>
    </cfRule>
    <cfRule type="expression" priority="4" dxfId="4">
      <formula>$A2="Grupo D"</formula>
    </cfRule>
    <cfRule type="expression" priority="5" dxfId="5">
      <formula>$A2="Grupo E"</formula>
    </cfRule>
    <cfRule type="expression" priority="6" dxfId="6">
      <formula>$A2="Grupo F"</formula>
    </cfRule>
  </conditionalFormatting>
  <dataValidations count="3">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E2 E3 E4 E5 E6 E7 E8 E9 E10 E11 E12 E13 E14 E15 E16 E17 E18 E19 E20 E21 F2 F3 F4 F5 F6 F7 F8 F9 F10 F11 F12 F13 F14 F15 F16 F17 F18 F19 F20 F21" showDropDown="0" showInputMessage="0" showErrorMessage="0" allowBlank="1" type="list">
      <formula1>=Listas!$A$2:$A$20</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showDropDown="0" showInputMessage="0" showErrorMessage="0" allowBlank="1" type="list">
      <formula1>='Cadastro_Times'!$B$2:$B$21</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showDropDown="0" showInputMessage="0" showErrorMessage="0" allowBlank="1" type="list">
      <formula1>=Listas!$F$2:$F$4</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1"/>
  <sheetViews>
    <sheetView showGridLines="0" workbookViewId="0">
      <pane ySplit="1" topLeftCell="A2" activePane="bottomLeft" state="frozen"/>
      <selection pane="bottomLeft" activeCell="A1" sqref="A1"/>
    </sheetView>
  </sheetViews>
  <sheetFormatPr baseColWidth="8" defaultRowHeight="15"/>
  <cols>
    <col width="22" customWidth="1" min="1" max="1"/>
    <col width="12" customWidth="1" min="2" max="2"/>
    <col width="8" customWidth="1" min="3" max="3"/>
    <col width="10" customWidth="1" min="4" max="4"/>
    <col width="10" customWidth="1" min="5" max="5"/>
    <col width="10" customWidth="1" min="6" max="6"/>
    <col width="8" customWidth="1" min="7" max="7"/>
    <col width="8" customWidth="1" min="8" max="8"/>
    <col width="8" customWidth="1" min="9" max="9"/>
    <col width="10" customWidth="1" min="10" max="10"/>
  </cols>
  <sheetData>
    <row r="1">
      <c r="A1" s="7" t="inlineStr">
        <is>
          <t>Time</t>
        </is>
      </c>
      <c r="B1" s="7" t="inlineStr">
        <is>
          <t>Grupo</t>
        </is>
      </c>
      <c r="C1" s="7" t="inlineStr">
        <is>
          <t>Jogos</t>
        </is>
      </c>
      <c r="D1" s="7" t="inlineStr">
        <is>
          <t>Vitórias</t>
        </is>
      </c>
      <c r="E1" s="7" t="inlineStr">
        <is>
          <t>Empates</t>
        </is>
      </c>
      <c r="F1" s="7" t="inlineStr">
        <is>
          <t>Derrotas</t>
        </is>
      </c>
      <c r="G1" s="7" t="inlineStr">
        <is>
          <t>GP</t>
        </is>
      </c>
      <c r="H1" s="7" t="inlineStr">
        <is>
          <t>GC</t>
        </is>
      </c>
      <c r="I1" s="7" t="inlineStr">
        <is>
          <t>Saldo</t>
        </is>
      </c>
      <c r="J1" s="7" t="inlineStr">
        <is>
          <t>Pontos</t>
        </is>
      </c>
    </row>
    <row r="2">
      <c r="A2">
        <f>Cadastro_Times!B2</f>
        <v/>
      </c>
      <c r="B2">
        <f>Cadastro_Times!E2</f>
        <v/>
      </c>
      <c r="C2">
        <f>COUNTIF(Jogos_Futsal!$D$2:$D$201,A2)+COUNTIF(Jogos_Futsal!$F$2:$F$201,A2)</f>
        <v/>
      </c>
      <c r="D2">
        <f>COUNTIFS(Jogos_Futsal!$D$2:$D$201,A2,Jogos_Futsal!$K$2:$K$201,A2)+COUNTIFS(Jogos_Futsal!$F$2:$F$201,A2,Jogos_Futsal!$K$2:$K$201,A2)</f>
        <v/>
      </c>
      <c r="E2">
        <f>COUNTIFS(Jogos_Futsal!$D$2:$D$201,A2,Jogos_Futsal!$K$2:$K$201,"Empate")+COUNTIFS(Jogos_Futsal!$F$2:$F$201,A2,Jogos_Futsal!$K$2:$K$201,"Empate")</f>
        <v/>
      </c>
      <c r="F2">
        <f>MAX(0,C2-D2-E2)</f>
        <v/>
      </c>
      <c r="G2">
        <f>SUMIF(Jogos_Futsal!$D$2:$D$201,A2,Jogos_Futsal!$E$2:$E$201)+SUMIF(Jogos_Futsal!$F$2:$F$201,A2,Jogos_Futsal!$G$2:$G$201)</f>
        <v/>
      </c>
      <c r="H2">
        <f>SUMIF(Jogos_Futsal!$D$2:$D$201,A2,Jogos_Futsal!$G$2:$G$201)+SUMIF(Jogos_Futsal!$F$2:$F$201,A2,Jogos_Futsal!$E$2:$E$201)</f>
        <v/>
      </c>
      <c r="I2">
        <f>G2-H2</f>
        <v/>
      </c>
      <c r="J2">
        <f>SUMIF(Jogos_Futsal!$D$2:$D$201,A2,Jogos_Futsal!$I$2:$I$201)+SUMIF(Jogos_Futsal!$F$2:$F$201,A2,Jogos_Futsal!$J$2:$J$201)</f>
        <v/>
      </c>
    </row>
    <row r="3">
      <c r="A3">
        <f>Cadastro_Times!B3</f>
        <v/>
      </c>
      <c r="B3">
        <f>Cadastro_Times!E3</f>
        <v/>
      </c>
      <c r="C3">
        <f>COUNTIF(Jogos_Futsal!$D$2:$D$201,A3)+COUNTIF(Jogos_Futsal!$F$2:$F$201,A3)</f>
        <v/>
      </c>
      <c r="D3">
        <f>COUNTIFS(Jogos_Futsal!$D$2:$D$201,A3,Jogos_Futsal!$K$2:$K$201,A3)+COUNTIFS(Jogos_Futsal!$F$2:$F$201,A3,Jogos_Futsal!$K$2:$K$201,A3)</f>
        <v/>
      </c>
      <c r="E3">
        <f>COUNTIFS(Jogos_Futsal!$D$2:$D$201,A3,Jogos_Futsal!$K$2:$K$201,"Empate")+COUNTIFS(Jogos_Futsal!$F$2:$F$201,A3,Jogos_Futsal!$K$2:$K$201,"Empate")</f>
        <v/>
      </c>
      <c r="F3">
        <f>MAX(0,C3-D3-E3)</f>
        <v/>
      </c>
      <c r="G3">
        <f>SUMIF(Jogos_Futsal!$D$2:$D$201,A3,Jogos_Futsal!$E$2:$E$201)+SUMIF(Jogos_Futsal!$F$2:$F$201,A3,Jogos_Futsal!$G$2:$G$201)</f>
        <v/>
      </c>
      <c r="H3">
        <f>SUMIF(Jogos_Futsal!$D$2:$D$201,A3,Jogos_Futsal!$G$2:$G$201)+SUMIF(Jogos_Futsal!$F$2:$F$201,A3,Jogos_Futsal!$E$2:$E$201)</f>
        <v/>
      </c>
      <c r="I3">
        <f>G3-H3</f>
        <v/>
      </c>
      <c r="J3">
        <f>SUMIF(Jogos_Futsal!$D$2:$D$201,A3,Jogos_Futsal!$I$2:$I$201)+SUMIF(Jogos_Futsal!$F$2:$F$201,A3,Jogos_Futsal!$J$2:$J$201)</f>
        <v/>
      </c>
    </row>
    <row r="4">
      <c r="A4">
        <f>Cadastro_Times!B4</f>
        <v/>
      </c>
      <c r="B4">
        <f>Cadastro_Times!E4</f>
        <v/>
      </c>
      <c r="C4">
        <f>COUNTIF(Jogos_Futsal!$D$2:$D$201,A4)+COUNTIF(Jogos_Futsal!$F$2:$F$201,A4)</f>
        <v/>
      </c>
      <c r="D4">
        <f>COUNTIFS(Jogos_Futsal!$D$2:$D$201,A4,Jogos_Futsal!$K$2:$K$201,A4)+COUNTIFS(Jogos_Futsal!$F$2:$F$201,A4,Jogos_Futsal!$K$2:$K$201,A4)</f>
        <v/>
      </c>
      <c r="E4">
        <f>COUNTIFS(Jogos_Futsal!$D$2:$D$201,A4,Jogos_Futsal!$K$2:$K$201,"Empate")+COUNTIFS(Jogos_Futsal!$F$2:$F$201,A4,Jogos_Futsal!$K$2:$K$201,"Empate")</f>
        <v/>
      </c>
      <c r="F4">
        <f>MAX(0,C4-D4-E4)</f>
        <v/>
      </c>
      <c r="G4">
        <f>SUMIF(Jogos_Futsal!$D$2:$D$201,A4,Jogos_Futsal!$E$2:$E$201)+SUMIF(Jogos_Futsal!$F$2:$F$201,A4,Jogos_Futsal!$G$2:$G$201)</f>
        <v/>
      </c>
      <c r="H4">
        <f>SUMIF(Jogos_Futsal!$D$2:$D$201,A4,Jogos_Futsal!$G$2:$G$201)+SUMIF(Jogos_Futsal!$F$2:$F$201,A4,Jogos_Futsal!$E$2:$E$201)</f>
        <v/>
      </c>
      <c r="I4">
        <f>G4-H4</f>
        <v/>
      </c>
      <c r="J4">
        <f>SUMIF(Jogos_Futsal!$D$2:$D$201,A4,Jogos_Futsal!$I$2:$I$201)+SUMIF(Jogos_Futsal!$F$2:$F$201,A4,Jogos_Futsal!$J$2:$J$201)</f>
        <v/>
      </c>
    </row>
    <row r="5">
      <c r="A5">
        <f>Cadastro_Times!B5</f>
        <v/>
      </c>
      <c r="B5">
        <f>Cadastro_Times!E5</f>
        <v/>
      </c>
      <c r="C5">
        <f>COUNTIF(Jogos_Futsal!$D$2:$D$201,A5)+COUNTIF(Jogos_Futsal!$F$2:$F$201,A5)</f>
        <v/>
      </c>
      <c r="D5">
        <f>COUNTIFS(Jogos_Futsal!$D$2:$D$201,A5,Jogos_Futsal!$K$2:$K$201,A5)+COUNTIFS(Jogos_Futsal!$F$2:$F$201,A5,Jogos_Futsal!$K$2:$K$201,A5)</f>
        <v/>
      </c>
      <c r="E5">
        <f>COUNTIFS(Jogos_Futsal!$D$2:$D$201,A5,Jogos_Futsal!$K$2:$K$201,"Empate")+COUNTIFS(Jogos_Futsal!$F$2:$F$201,A5,Jogos_Futsal!$K$2:$K$201,"Empate")</f>
        <v/>
      </c>
      <c r="F5">
        <f>MAX(0,C5-D5-E5)</f>
        <v/>
      </c>
      <c r="G5">
        <f>SUMIF(Jogos_Futsal!$D$2:$D$201,A5,Jogos_Futsal!$E$2:$E$201)+SUMIF(Jogos_Futsal!$F$2:$F$201,A5,Jogos_Futsal!$G$2:$G$201)</f>
        <v/>
      </c>
      <c r="H5">
        <f>SUMIF(Jogos_Futsal!$D$2:$D$201,A5,Jogos_Futsal!$G$2:$G$201)+SUMIF(Jogos_Futsal!$F$2:$F$201,A5,Jogos_Futsal!$E$2:$E$201)</f>
        <v/>
      </c>
      <c r="I5">
        <f>G5-H5</f>
        <v/>
      </c>
      <c r="J5">
        <f>SUMIF(Jogos_Futsal!$D$2:$D$201,A5,Jogos_Futsal!$I$2:$I$201)+SUMIF(Jogos_Futsal!$F$2:$F$201,A5,Jogos_Futsal!$J$2:$J$201)</f>
        <v/>
      </c>
    </row>
    <row r="6">
      <c r="A6">
        <f>Cadastro_Times!B6</f>
        <v/>
      </c>
      <c r="B6">
        <f>Cadastro_Times!E6</f>
        <v/>
      </c>
      <c r="C6">
        <f>COUNTIF(Jogos_Futsal!$D$2:$D$201,A6)+COUNTIF(Jogos_Futsal!$F$2:$F$201,A6)</f>
        <v/>
      </c>
      <c r="D6">
        <f>COUNTIFS(Jogos_Futsal!$D$2:$D$201,A6,Jogos_Futsal!$K$2:$K$201,A6)+COUNTIFS(Jogos_Futsal!$F$2:$F$201,A6,Jogos_Futsal!$K$2:$K$201,A6)</f>
        <v/>
      </c>
      <c r="E6">
        <f>COUNTIFS(Jogos_Futsal!$D$2:$D$201,A6,Jogos_Futsal!$K$2:$K$201,"Empate")+COUNTIFS(Jogos_Futsal!$F$2:$F$201,A6,Jogos_Futsal!$K$2:$K$201,"Empate")</f>
        <v/>
      </c>
      <c r="F6">
        <f>MAX(0,C6-D6-E6)</f>
        <v/>
      </c>
      <c r="G6">
        <f>SUMIF(Jogos_Futsal!$D$2:$D$201,A6,Jogos_Futsal!$E$2:$E$201)+SUMIF(Jogos_Futsal!$F$2:$F$201,A6,Jogos_Futsal!$G$2:$G$201)</f>
        <v/>
      </c>
      <c r="H6">
        <f>SUMIF(Jogos_Futsal!$D$2:$D$201,A6,Jogos_Futsal!$G$2:$G$201)+SUMIF(Jogos_Futsal!$F$2:$F$201,A6,Jogos_Futsal!$E$2:$E$201)</f>
        <v/>
      </c>
      <c r="I6">
        <f>G6-H6</f>
        <v/>
      </c>
      <c r="J6">
        <f>SUMIF(Jogos_Futsal!$D$2:$D$201,A6,Jogos_Futsal!$I$2:$I$201)+SUMIF(Jogos_Futsal!$F$2:$F$201,A6,Jogos_Futsal!$J$2:$J$201)</f>
        <v/>
      </c>
    </row>
    <row r="7">
      <c r="A7">
        <f>Cadastro_Times!B7</f>
        <v/>
      </c>
      <c r="B7">
        <f>Cadastro_Times!E7</f>
        <v/>
      </c>
      <c r="C7">
        <f>COUNTIF(Jogos_Futsal!$D$2:$D$201,A7)+COUNTIF(Jogos_Futsal!$F$2:$F$201,A7)</f>
        <v/>
      </c>
      <c r="D7">
        <f>COUNTIFS(Jogos_Futsal!$D$2:$D$201,A7,Jogos_Futsal!$K$2:$K$201,A7)+COUNTIFS(Jogos_Futsal!$F$2:$F$201,A7,Jogos_Futsal!$K$2:$K$201,A7)</f>
        <v/>
      </c>
      <c r="E7">
        <f>COUNTIFS(Jogos_Futsal!$D$2:$D$201,A7,Jogos_Futsal!$K$2:$K$201,"Empate")+COUNTIFS(Jogos_Futsal!$F$2:$F$201,A7,Jogos_Futsal!$K$2:$K$201,"Empate")</f>
        <v/>
      </c>
      <c r="F7">
        <f>MAX(0,C7-D7-E7)</f>
        <v/>
      </c>
      <c r="G7">
        <f>SUMIF(Jogos_Futsal!$D$2:$D$201,A7,Jogos_Futsal!$E$2:$E$201)+SUMIF(Jogos_Futsal!$F$2:$F$201,A7,Jogos_Futsal!$G$2:$G$201)</f>
        <v/>
      </c>
      <c r="H7">
        <f>SUMIF(Jogos_Futsal!$D$2:$D$201,A7,Jogos_Futsal!$G$2:$G$201)+SUMIF(Jogos_Futsal!$F$2:$F$201,A7,Jogos_Futsal!$E$2:$E$201)</f>
        <v/>
      </c>
      <c r="I7">
        <f>G7-H7</f>
        <v/>
      </c>
      <c r="J7">
        <f>SUMIF(Jogos_Futsal!$D$2:$D$201,A7,Jogos_Futsal!$I$2:$I$201)+SUMIF(Jogos_Futsal!$F$2:$F$201,A7,Jogos_Futsal!$J$2:$J$201)</f>
        <v/>
      </c>
    </row>
    <row r="8">
      <c r="A8">
        <f>Cadastro_Times!B8</f>
        <v/>
      </c>
      <c r="B8">
        <f>Cadastro_Times!E8</f>
        <v/>
      </c>
      <c r="C8">
        <f>COUNTIF(Jogos_Futsal!$D$2:$D$201,A8)+COUNTIF(Jogos_Futsal!$F$2:$F$201,A8)</f>
        <v/>
      </c>
      <c r="D8">
        <f>COUNTIFS(Jogos_Futsal!$D$2:$D$201,A8,Jogos_Futsal!$K$2:$K$201,A8)+COUNTIFS(Jogos_Futsal!$F$2:$F$201,A8,Jogos_Futsal!$K$2:$K$201,A8)</f>
        <v/>
      </c>
      <c r="E8">
        <f>COUNTIFS(Jogos_Futsal!$D$2:$D$201,A8,Jogos_Futsal!$K$2:$K$201,"Empate")+COUNTIFS(Jogos_Futsal!$F$2:$F$201,A8,Jogos_Futsal!$K$2:$K$201,"Empate")</f>
        <v/>
      </c>
      <c r="F8">
        <f>MAX(0,C8-D8-E8)</f>
        <v/>
      </c>
      <c r="G8">
        <f>SUMIF(Jogos_Futsal!$D$2:$D$201,A8,Jogos_Futsal!$E$2:$E$201)+SUMIF(Jogos_Futsal!$F$2:$F$201,A8,Jogos_Futsal!$G$2:$G$201)</f>
        <v/>
      </c>
      <c r="H8">
        <f>SUMIF(Jogos_Futsal!$D$2:$D$201,A8,Jogos_Futsal!$G$2:$G$201)+SUMIF(Jogos_Futsal!$F$2:$F$201,A8,Jogos_Futsal!$E$2:$E$201)</f>
        <v/>
      </c>
      <c r="I8">
        <f>G8-H8</f>
        <v/>
      </c>
      <c r="J8">
        <f>SUMIF(Jogos_Futsal!$D$2:$D$201,A8,Jogos_Futsal!$I$2:$I$201)+SUMIF(Jogos_Futsal!$F$2:$F$201,A8,Jogos_Futsal!$J$2:$J$201)</f>
        <v/>
      </c>
    </row>
    <row r="9">
      <c r="A9">
        <f>Cadastro_Times!B9</f>
        <v/>
      </c>
      <c r="B9">
        <f>Cadastro_Times!E9</f>
        <v/>
      </c>
      <c r="C9">
        <f>COUNTIF(Jogos_Futsal!$D$2:$D$201,A9)+COUNTIF(Jogos_Futsal!$F$2:$F$201,A9)</f>
        <v/>
      </c>
      <c r="D9">
        <f>COUNTIFS(Jogos_Futsal!$D$2:$D$201,A9,Jogos_Futsal!$K$2:$K$201,A9)+COUNTIFS(Jogos_Futsal!$F$2:$F$201,A9,Jogos_Futsal!$K$2:$K$201,A9)</f>
        <v/>
      </c>
      <c r="E9">
        <f>COUNTIFS(Jogos_Futsal!$D$2:$D$201,A9,Jogos_Futsal!$K$2:$K$201,"Empate")+COUNTIFS(Jogos_Futsal!$F$2:$F$201,A9,Jogos_Futsal!$K$2:$K$201,"Empate")</f>
        <v/>
      </c>
      <c r="F9">
        <f>MAX(0,C9-D9-E9)</f>
        <v/>
      </c>
      <c r="G9">
        <f>SUMIF(Jogos_Futsal!$D$2:$D$201,A9,Jogos_Futsal!$E$2:$E$201)+SUMIF(Jogos_Futsal!$F$2:$F$201,A9,Jogos_Futsal!$G$2:$G$201)</f>
        <v/>
      </c>
      <c r="H9">
        <f>SUMIF(Jogos_Futsal!$D$2:$D$201,A9,Jogos_Futsal!$G$2:$G$201)+SUMIF(Jogos_Futsal!$F$2:$F$201,A9,Jogos_Futsal!$E$2:$E$201)</f>
        <v/>
      </c>
      <c r="I9">
        <f>G9-H9</f>
        <v/>
      </c>
      <c r="J9">
        <f>SUMIF(Jogos_Futsal!$D$2:$D$201,A9,Jogos_Futsal!$I$2:$I$201)+SUMIF(Jogos_Futsal!$F$2:$F$201,A9,Jogos_Futsal!$J$2:$J$201)</f>
        <v/>
      </c>
    </row>
    <row r="10">
      <c r="A10">
        <f>Cadastro_Times!B10</f>
        <v/>
      </c>
      <c r="B10">
        <f>Cadastro_Times!E10</f>
        <v/>
      </c>
      <c r="C10">
        <f>COUNTIF(Jogos_Futsal!$D$2:$D$201,A10)+COUNTIF(Jogos_Futsal!$F$2:$F$201,A10)</f>
        <v/>
      </c>
      <c r="D10">
        <f>COUNTIFS(Jogos_Futsal!$D$2:$D$201,A10,Jogos_Futsal!$K$2:$K$201,A10)+COUNTIFS(Jogos_Futsal!$F$2:$F$201,A10,Jogos_Futsal!$K$2:$K$201,A10)</f>
        <v/>
      </c>
      <c r="E10">
        <f>COUNTIFS(Jogos_Futsal!$D$2:$D$201,A10,Jogos_Futsal!$K$2:$K$201,"Empate")+COUNTIFS(Jogos_Futsal!$F$2:$F$201,A10,Jogos_Futsal!$K$2:$K$201,"Empate")</f>
        <v/>
      </c>
      <c r="F10">
        <f>MAX(0,C10-D10-E10)</f>
        <v/>
      </c>
      <c r="G10">
        <f>SUMIF(Jogos_Futsal!$D$2:$D$201,A10,Jogos_Futsal!$E$2:$E$201)+SUMIF(Jogos_Futsal!$F$2:$F$201,A10,Jogos_Futsal!$G$2:$G$201)</f>
        <v/>
      </c>
      <c r="H10">
        <f>SUMIF(Jogos_Futsal!$D$2:$D$201,A10,Jogos_Futsal!$G$2:$G$201)+SUMIF(Jogos_Futsal!$F$2:$F$201,A10,Jogos_Futsal!$E$2:$E$201)</f>
        <v/>
      </c>
      <c r="I10">
        <f>G10-H10</f>
        <v/>
      </c>
      <c r="J10">
        <f>SUMIF(Jogos_Futsal!$D$2:$D$201,A10,Jogos_Futsal!$I$2:$I$201)+SUMIF(Jogos_Futsal!$F$2:$F$201,A10,Jogos_Futsal!$J$2:$J$201)</f>
        <v/>
      </c>
    </row>
    <row r="11">
      <c r="A11">
        <f>Cadastro_Times!B11</f>
        <v/>
      </c>
      <c r="B11">
        <f>Cadastro_Times!E11</f>
        <v/>
      </c>
      <c r="C11">
        <f>COUNTIF(Jogos_Futsal!$D$2:$D$201,A11)+COUNTIF(Jogos_Futsal!$F$2:$F$201,A11)</f>
        <v/>
      </c>
      <c r="D11">
        <f>COUNTIFS(Jogos_Futsal!$D$2:$D$201,A11,Jogos_Futsal!$K$2:$K$201,A11)+COUNTIFS(Jogos_Futsal!$F$2:$F$201,A11,Jogos_Futsal!$K$2:$K$201,A11)</f>
        <v/>
      </c>
      <c r="E11">
        <f>COUNTIFS(Jogos_Futsal!$D$2:$D$201,A11,Jogos_Futsal!$K$2:$K$201,"Empate")+COUNTIFS(Jogos_Futsal!$F$2:$F$201,A11,Jogos_Futsal!$K$2:$K$201,"Empate")</f>
        <v/>
      </c>
      <c r="F11">
        <f>MAX(0,C11-D11-E11)</f>
        <v/>
      </c>
      <c r="G11">
        <f>SUMIF(Jogos_Futsal!$D$2:$D$201,A11,Jogos_Futsal!$E$2:$E$201)+SUMIF(Jogos_Futsal!$F$2:$F$201,A11,Jogos_Futsal!$G$2:$G$201)</f>
        <v/>
      </c>
      <c r="H11">
        <f>SUMIF(Jogos_Futsal!$D$2:$D$201,A11,Jogos_Futsal!$G$2:$G$201)+SUMIF(Jogos_Futsal!$F$2:$F$201,A11,Jogos_Futsal!$E$2:$E$201)</f>
        <v/>
      </c>
      <c r="I11">
        <f>G11-H11</f>
        <v/>
      </c>
      <c r="J11">
        <f>SUMIF(Jogos_Futsal!$D$2:$D$201,A11,Jogos_Futsal!$I$2:$I$201)+SUMIF(Jogos_Futsal!$F$2:$F$201,A11,Jogos_Futsal!$J$2:$J$201)</f>
        <v/>
      </c>
    </row>
    <row r="12">
      <c r="A12">
        <f>Cadastro_Times!B12</f>
        <v/>
      </c>
      <c r="B12">
        <f>Cadastro_Times!E12</f>
        <v/>
      </c>
      <c r="C12">
        <f>COUNTIF(Jogos_Futsal!$D$2:$D$201,A12)+COUNTIF(Jogos_Futsal!$F$2:$F$201,A12)</f>
        <v/>
      </c>
      <c r="D12">
        <f>COUNTIFS(Jogos_Futsal!$D$2:$D$201,A12,Jogos_Futsal!$K$2:$K$201,A12)+COUNTIFS(Jogos_Futsal!$F$2:$F$201,A12,Jogos_Futsal!$K$2:$K$201,A12)</f>
        <v/>
      </c>
      <c r="E12">
        <f>COUNTIFS(Jogos_Futsal!$D$2:$D$201,A12,Jogos_Futsal!$K$2:$K$201,"Empate")+COUNTIFS(Jogos_Futsal!$F$2:$F$201,A12,Jogos_Futsal!$K$2:$K$201,"Empate")</f>
        <v/>
      </c>
      <c r="F12">
        <f>MAX(0,C12-D12-E12)</f>
        <v/>
      </c>
      <c r="G12">
        <f>SUMIF(Jogos_Futsal!$D$2:$D$201,A12,Jogos_Futsal!$E$2:$E$201)+SUMIF(Jogos_Futsal!$F$2:$F$201,A12,Jogos_Futsal!$G$2:$G$201)</f>
        <v/>
      </c>
      <c r="H12">
        <f>SUMIF(Jogos_Futsal!$D$2:$D$201,A12,Jogos_Futsal!$G$2:$G$201)+SUMIF(Jogos_Futsal!$F$2:$F$201,A12,Jogos_Futsal!$E$2:$E$201)</f>
        <v/>
      </c>
      <c r="I12">
        <f>G12-H12</f>
        <v/>
      </c>
      <c r="J12">
        <f>SUMIF(Jogos_Futsal!$D$2:$D$201,A12,Jogos_Futsal!$I$2:$I$201)+SUMIF(Jogos_Futsal!$F$2:$F$201,A12,Jogos_Futsal!$J$2:$J$201)</f>
        <v/>
      </c>
    </row>
    <row r="13">
      <c r="A13">
        <f>Cadastro_Times!B13</f>
        <v/>
      </c>
      <c r="B13">
        <f>Cadastro_Times!E13</f>
        <v/>
      </c>
      <c r="C13">
        <f>COUNTIF(Jogos_Futsal!$D$2:$D$201,A13)+COUNTIF(Jogos_Futsal!$F$2:$F$201,A13)</f>
        <v/>
      </c>
      <c r="D13">
        <f>COUNTIFS(Jogos_Futsal!$D$2:$D$201,A13,Jogos_Futsal!$K$2:$K$201,A13)+COUNTIFS(Jogos_Futsal!$F$2:$F$201,A13,Jogos_Futsal!$K$2:$K$201,A13)</f>
        <v/>
      </c>
      <c r="E13">
        <f>COUNTIFS(Jogos_Futsal!$D$2:$D$201,A13,Jogos_Futsal!$K$2:$K$201,"Empate")+COUNTIFS(Jogos_Futsal!$F$2:$F$201,A13,Jogos_Futsal!$K$2:$K$201,"Empate")</f>
        <v/>
      </c>
      <c r="F13">
        <f>MAX(0,C13-D13-E13)</f>
        <v/>
      </c>
      <c r="G13">
        <f>SUMIF(Jogos_Futsal!$D$2:$D$201,A13,Jogos_Futsal!$E$2:$E$201)+SUMIF(Jogos_Futsal!$F$2:$F$201,A13,Jogos_Futsal!$G$2:$G$201)</f>
        <v/>
      </c>
      <c r="H13">
        <f>SUMIF(Jogos_Futsal!$D$2:$D$201,A13,Jogos_Futsal!$G$2:$G$201)+SUMIF(Jogos_Futsal!$F$2:$F$201,A13,Jogos_Futsal!$E$2:$E$201)</f>
        <v/>
      </c>
      <c r="I13">
        <f>G13-H13</f>
        <v/>
      </c>
      <c r="J13">
        <f>SUMIF(Jogos_Futsal!$D$2:$D$201,A13,Jogos_Futsal!$I$2:$I$201)+SUMIF(Jogos_Futsal!$F$2:$F$201,A13,Jogos_Futsal!$J$2:$J$201)</f>
        <v/>
      </c>
    </row>
    <row r="14">
      <c r="A14">
        <f>Cadastro_Times!B14</f>
        <v/>
      </c>
      <c r="B14">
        <f>Cadastro_Times!E14</f>
        <v/>
      </c>
      <c r="C14">
        <f>COUNTIF(Jogos_Futsal!$D$2:$D$201,A14)+COUNTIF(Jogos_Futsal!$F$2:$F$201,A14)</f>
        <v/>
      </c>
      <c r="D14">
        <f>COUNTIFS(Jogos_Futsal!$D$2:$D$201,A14,Jogos_Futsal!$K$2:$K$201,A14)+COUNTIFS(Jogos_Futsal!$F$2:$F$201,A14,Jogos_Futsal!$K$2:$K$201,A14)</f>
        <v/>
      </c>
      <c r="E14">
        <f>COUNTIFS(Jogos_Futsal!$D$2:$D$201,A14,Jogos_Futsal!$K$2:$K$201,"Empate")+COUNTIFS(Jogos_Futsal!$F$2:$F$201,A14,Jogos_Futsal!$K$2:$K$201,"Empate")</f>
        <v/>
      </c>
      <c r="F14">
        <f>MAX(0,C14-D14-E14)</f>
        <v/>
      </c>
      <c r="G14">
        <f>SUMIF(Jogos_Futsal!$D$2:$D$201,A14,Jogos_Futsal!$E$2:$E$201)+SUMIF(Jogos_Futsal!$F$2:$F$201,A14,Jogos_Futsal!$G$2:$G$201)</f>
        <v/>
      </c>
      <c r="H14">
        <f>SUMIF(Jogos_Futsal!$D$2:$D$201,A14,Jogos_Futsal!$G$2:$G$201)+SUMIF(Jogos_Futsal!$F$2:$F$201,A14,Jogos_Futsal!$E$2:$E$201)</f>
        <v/>
      </c>
      <c r="I14">
        <f>G14-H14</f>
        <v/>
      </c>
      <c r="J14">
        <f>SUMIF(Jogos_Futsal!$D$2:$D$201,A14,Jogos_Futsal!$I$2:$I$201)+SUMIF(Jogos_Futsal!$F$2:$F$201,A14,Jogos_Futsal!$J$2:$J$201)</f>
        <v/>
      </c>
    </row>
    <row r="15">
      <c r="A15">
        <f>Cadastro_Times!B15</f>
        <v/>
      </c>
      <c r="B15">
        <f>Cadastro_Times!E15</f>
        <v/>
      </c>
      <c r="C15">
        <f>COUNTIF(Jogos_Futsal!$D$2:$D$201,A15)+COUNTIF(Jogos_Futsal!$F$2:$F$201,A15)</f>
        <v/>
      </c>
      <c r="D15">
        <f>COUNTIFS(Jogos_Futsal!$D$2:$D$201,A15,Jogos_Futsal!$K$2:$K$201,A15)+COUNTIFS(Jogos_Futsal!$F$2:$F$201,A15,Jogos_Futsal!$K$2:$K$201,A15)</f>
        <v/>
      </c>
      <c r="E15">
        <f>COUNTIFS(Jogos_Futsal!$D$2:$D$201,A15,Jogos_Futsal!$K$2:$K$201,"Empate")+COUNTIFS(Jogos_Futsal!$F$2:$F$201,A15,Jogos_Futsal!$K$2:$K$201,"Empate")</f>
        <v/>
      </c>
      <c r="F15">
        <f>MAX(0,C15-D15-E15)</f>
        <v/>
      </c>
      <c r="G15">
        <f>SUMIF(Jogos_Futsal!$D$2:$D$201,A15,Jogos_Futsal!$E$2:$E$201)+SUMIF(Jogos_Futsal!$F$2:$F$201,A15,Jogos_Futsal!$G$2:$G$201)</f>
        <v/>
      </c>
      <c r="H15">
        <f>SUMIF(Jogos_Futsal!$D$2:$D$201,A15,Jogos_Futsal!$G$2:$G$201)+SUMIF(Jogos_Futsal!$F$2:$F$201,A15,Jogos_Futsal!$E$2:$E$201)</f>
        <v/>
      </c>
      <c r="I15">
        <f>G15-H15</f>
        <v/>
      </c>
      <c r="J15">
        <f>SUMIF(Jogos_Futsal!$D$2:$D$201,A15,Jogos_Futsal!$I$2:$I$201)+SUMIF(Jogos_Futsal!$F$2:$F$201,A15,Jogos_Futsal!$J$2:$J$201)</f>
        <v/>
      </c>
    </row>
    <row r="16">
      <c r="A16">
        <f>Cadastro_Times!B16</f>
        <v/>
      </c>
      <c r="B16">
        <f>Cadastro_Times!E16</f>
        <v/>
      </c>
      <c r="C16">
        <f>COUNTIF(Jogos_Futsal!$D$2:$D$201,A16)+COUNTIF(Jogos_Futsal!$F$2:$F$201,A16)</f>
        <v/>
      </c>
      <c r="D16">
        <f>COUNTIFS(Jogos_Futsal!$D$2:$D$201,A16,Jogos_Futsal!$K$2:$K$201,A16)+COUNTIFS(Jogos_Futsal!$F$2:$F$201,A16,Jogos_Futsal!$K$2:$K$201,A16)</f>
        <v/>
      </c>
      <c r="E16">
        <f>COUNTIFS(Jogos_Futsal!$D$2:$D$201,A16,Jogos_Futsal!$K$2:$K$201,"Empate")+COUNTIFS(Jogos_Futsal!$F$2:$F$201,A16,Jogos_Futsal!$K$2:$K$201,"Empate")</f>
        <v/>
      </c>
      <c r="F16">
        <f>MAX(0,C16-D16-E16)</f>
        <v/>
      </c>
      <c r="G16">
        <f>SUMIF(Jogos_Futsal!$D$2:$D$201,A16,Jogos_Futsal!$E$2:$E$201)+SUMIF(Jogos_Futsal!$F$2:$F$201,A16,Jogos_Futsal!$G$2:$G$201)</f>
        <v/>
      </c>
      <c r="H16">
        <f>SUMIF(Jogos_Futsal!$D$2:$D$201,A16,Jogos_Futsal!$G$2:$G$201)+SUMIF(Jogos_Futsal!$F$2:$F$201,A16,Jogos_Futsal!$E$2:$E$201)</f>
        <v/>
      </c>
      <c r="I16">
        <f>G16-H16</f>
        <v/>
      </c>
      <c r="J16">
        <f>SUMIF(Jogos_Futsal!$D$2:$D$201,A16,Jogos_Futsal!$I$2:$I$201)+SUMIF(Jogos_Futsal!$F$2:$F$201,A16,Jogos_Futsal!$J$2:$J$201)</f>
        <v/>
      </c>
    </row>
    <row r="17">
      <c r="A17">
        <f>Cadastro_Times!B17</f>
        <v/>
      </c>
      <c r="B17">
        <f>Cadastro_Times!E17</f>
        <v/>
      </c>
      <c r="C17">
        <f>COUNTIF(Jogos_Futsal!$D$2:$D$201,A17)+COUNTIF(Jogos_Futsal!$F$2:$F$201,A17)</f>
        <v/>
      </c>
      <c r="D17">
        <f>COUNTIFS(Jogos_Futsal!$D$2:$D$201,A17,Jogos_Futsal!$K$2:$K$201,A17)+COUNTIFS(Jogos_Futsal!$F$2:$F$201,A17,Jogos_Futsal!$K$2:$K$201,A17)</f>
        <v/>
      </c>
      <c r="E17">
        <f>COUNTIFS(Jogos_Futsal!$D$2:$D$201,A17,Jogos_Futsal!$K$2:$K$201,"Empate")+COUNTIFS(Jogos_Futsal!$F$2:$F$201,A17,Jogos_Futsal!$K$2:$K$201,"Empate")</f>
        <v/>
      </c>
      <c r="F17">
        <f>MAX(0,C17-D17-E17)</f>
        <v/>
      </c>
      <c r="G17">
        <f>SUMIF(Jogos_Futsal!$D$2:$D$201,A17,Jogos_Futsal!$E$2:$E$201)+SUMIF(Jogos_Futsal!$F$2:$F$201,A17,Jogos_Futsal!$G$2:$G$201)</f>
        <v/>
      </c>
      <c r="H17">
        <f>SUMIF(Jogos_Futsal!$D$2:$D$201,A17,Jogos_Futsal!$G$2:$G$201)+SUMIF(Jogos_Futsal!$F$2:$F$201,A17,Jogos_Futsal!$E$2:$E$201)</f>
        <v/>
      </c>
      <c r="I17">
        <f>G17-H17</f>
        <v/>
      </c>
      <c r="J17">
        <f>SUMIF(Jogos_Futsal!$D$2:$D$201,A17,Jogos_Futsal!$I$2:$I$201)+SUMIF(Jogos_Futsal!$F$2:$F$201,A17,Jogos_Futsal!$J$2:$J$201)</f>
        <v/>
      </c>
    </row>
    <row r="18">
      <c r="A18">
        <f>Cadastro_Times!B18</f>
        <v/>
      </c>
      <c r="B18">
        <f>Cadastro_Times!E18</f>
        <v/>
      </c>
      <c r="C18">
        <f>COUNTIF(Jogos_Futsal!$D$2:$D$201,A18)+COUNTIF(Jogos_Futsal!$F$2:$F$201,A18)</f>
        <v/>
      </c>
      <c r="D18">
        <f>COUNTIFS(Jogos_Futsal!$D$2:$D$201,A18,Jogos_Futsal!$K$2:$K$201,A18)+COUNTIFS(Jogos_Futsal!$F$2:$F$201,A18,Jogos_Futsal!$K$2:$K$201,A18)</f>
        <v/>
      </c>
      <c r="E18">
        <f>COUNTIFS(Jogos_Futsal!$D$2:$D$201,A18,Jogos_Futsal!$K$2:$K$201,"Empate")+COUNTIFS(Jogos_Futsal!$F$2:$F$201,A18,Jogos_Futsal!$K$2:$K$201,"Empate")</f>
        <v/>
      </c>
      <c r="F18">
        <f>MAX(0,C18-D18-E18)</f>
        <v/>
      </c>
      <c r="G18">
        <f>SUMIF(Jogos_Futsal!$D$2:$D$201,A18,Jogos_Futsal!$E$2:$E$201)+SUMIF(Jogos_Futsal!$F$2:$F$201,A18,Jogos_Futsal!$G$2:$G$201)</f>
        <v/>
      </c>
      <c r="H18">
        <f>SUMIF(Jogos_Futsal!$D$2:$D$201,A18,Jogos_Futsal!$G$2:$G$201)+SUMIF(Jogos_Futsal!$F$2:$F$201,A18,Jogos_Futsal!$E$2:$E$201)</f>
        <v/>
      </c>
      <c r="I18">
        <f>G18-H18</f>
        <v/>
      </c>
      <c r="J18">
        <f>SUMIF(Jogos_Futsal!$D$2:$D$201,A18,Jogos_Futsal!$I$2:$I$201)+SUMIF(Jogos_Futsal!$F$2:$F$201,A18,Jogos_Futsal!$J$2:$J$201)</f>
        <v/>
      </c>
    </row>
    <row r="19">
      <c r="A19">
        <f>Cadastro_Times!B19</f>
        <v/>
      </c>
      <c r="B19">
        <f>Cadastro_Times!E19</f>
        <v/>
      </c>
      <c r="C19">
        <f>COUNTIF(Jogos_Futsal!$D$2:$D$201,A19)+COUNTIF(Jogos_Futsal!$F$2:$F$201,A19)</f>
        <v/>
      </c>
      <c r="D19">
        <f>COUNTIFS(Jogos_Futsal!$D$2:$D$201,A19,Jogos_Futsal!$K$2:$K$201,A19)+COUNTIFS(Jogos_Futsal!$F$2:$F$201,A19,Jogos_Futsal!$K$2:$K$201,A19)</f>
        <v/>
      </c>
      <c r="E19">
        <f>COUNTIFS(Jogos_Futsal!$D$2:$D$201,A19,Jogos_Futsal!$K$2:$K$201,"Empate")+COUNTIFS(Jogos_Futsal!$F$2:$F$201,A19,Jogos_Futsal!$K$2:$K$201,"Empate")</f>
        <v/>
      </c>
      <c r="F19">
        <f>MAX(0,C19-D19-E19)</f>
        <v/>
      </c>
      <c r="G19">
        <f>SUMIF(Jogos_Futsal!$D$2:$D$201,A19,Jogos_Futsal!$E$2:$E$201)+SUMIF(Jogos_Futsal!$F$2:$F$201,A19,Jogos_Futsal!$G$2:$G$201)</f>
        <v/>
      </c>
      <c r="H19">
        <f>SUMIF(Jogos_Futsal!$D$2:$D$201,A19,Jogos_Futsal!$G$2:$G$201)+SUMIF(Jogos_Futsal!$F$2:$F$201,A19,Jogos_Futsal!$E$2:$E$201)</f>
        <v/>
      </c>
      <c r="I19">
        <f>G19-H19</f>
        <v/>
      </c>
      <c r="J19">
        <f>SUMIF(Jogos_Futsal!$D$2:$D$201,A19,Jogos_Futsal!$I$2:$I$201)+SUMIF(Jogos_Futsal!$F$2:$F$201,A19,Jogos_Futsal!$J$2:$J$201)</f>
        <v/>
      </c>
    </row>
    <row r="20">
      <c r="A20">
        <f>Cadastro_Times!B20</f>
        <v/>
      </c>
      <c r="B20">
        <f>Cadastro_Times!E20</f>
        <v/>
      </c>
      <c r="C20">
        <f>COUNTIF(Jogos_Futsal!$D$2:$D$201,A20)+COUNTIF(Jogos_Futsal!$F$2:$F$201,A20)</f>
        <v/>
      </c>
      <c r="D20">
        <f>COUNTIFS(Jogos_Futsal!$D$2:$D$201,A20,Jogos_Futsal!$K$2:$K$201,A20)+COUNTIFS(Jogos_Futsal!$F$2:$F$201,A20,Jogos_Futsal!$K$2:$K$201,A20)</f>
        <v/>
      </c>
      <c r="E20">
        <f>COUNTIFS(Jogos_Futsal!$D$2:$D$201,A20,Jogos_Futsal!$K$2:$K$201,"Empate")+COUNTIFS(Jogos_Futsal!$F$2:$F$201,A20,Jogos_Futsal!$K$2:$K$201,"Empate")</f>
        <v/>
      </c>
      <c r="F20">
        <f>MAX(0,C20-D20-E20)</f>
        <v/>
      </c>
      <c r="G20">
        <f>SUMIF(Jogos_Futsal!$D$2:$D$201,A20,Jogos_Futsal!$E$2:$E$201)+SUMIF(Jogos_Futsal!$F$2:$F$201,A20,Jogos_Futsal!$G$2:$G$201)</f>
        <v/>
      </c>
      <c r="H20">
        <f>SUMIF(Jogos_Futsal!$D$2:$D$201,A20,Jogos_Futsal!$G$2:$G$201)+SUMIF(Jogos_Futsal!$F$2:$F$201,A20,Jogos_Futsal!$E$2:$E$201)</f>
        <v/>
      </c>
      <c r="I20">
        <f>G20-H20</f>
        <v/>
      </c>
      <c r="J20">
        <f>SUMIF(Jogos_Futsal!$D$2:$D$201,A20,Jogos_Futsal!$I$2:$I$201)+SUMIF(Jogos_Futsal!$F$2:$F$201,A20,Jogos_Futsal!$J$2:$J$201)</f>
        <v/>
      </c>
    </row>
    <row r="21">
      <c r="A21">
        <f>Cadastro_Times!B21</f>
        <v/>
      </c>
      <c r="B21">
        <f>Cadastro_Times!E21</f>
        <v/>
      </c>
      <c r="C21">
        <f>COUNTIF(Jogos_Futsal!$D$2:$D$201,A21)+COUNTIF(Jogos_Futsal!$F$2:$F$201,A21)</f>
        <v/>
      </c>
      <c r="D21">
        <f>COUNTIFS(Jogos_Futsal!$D$2:$D$201,A21,Jogos_Futsal!$K$2:$K$201,A21)+COUNTIFS(Jogos_Futsal!$F$2:$F$201,A21,Jogos_Futsal!$K$2:$K$201,A21)</f>
        <v/>
      </c>
      <c r="E21">
        <f>COUNTIFS(Jogos_Futsal!$D$2:$D$201,A21,Jogos_Futsal!$K$2:$K$201,"Empate")+COUNTIFS(Jogos_Futsal!$F$2:$F$201,A21,Jogos_Futsal!$K$2:$K$201,"Empate")</f>
        <v/>
      </c>
      <c r="F21">
        <f>MAX(0,C21-D21-E21)</f>
        <v/>
      </c>
      <c r="G21">
        <f>SUMIF(Jogos_Futsal!$D$2:$D$201,A21,Jogos_Futsal!$E$2:$E$201)+SUMIF(Jogos_Futsal!$F$2:$F$201,A21,Jogos_Futsal!$G$2:$G$201)</f>
        <v/>
      </c>
      <c r="H21">
        <f>SUMIF(Jogos_Futsal!$D$2:$D$201,A21,Jogos_Futsal!$G$2:$G$201)+SUMIF(Jogos_Futsal!$F$2:$F$201,A21,Jogos_Futsal!$E$2:$E$201)</f>
        <v/>
      </c>
      <c r="I21">
        <f>G21-H21</f>
        <v/>
      </c>
      <c r="J21">
        <f>SUMIF(Jogos_Futsal!$D$2:$D$201,A21,Jogos_Futsal!$I$2:$I$201)+SUMIF(Jogos_Futsal!$F$2:$F$201,A21,Jogos_Futsal!$J$2:$J$201)</f>
        <v/>
      </c>
    </row>
  </sheetData>
  <autoFilter ref="A1:J21"/>
  <conditionalFormatting sqref="A2:J21">
    <cfRule type="expression" priority="1" dxfId="1">
      <formula>$B2="Grupo A"</formula>
    </cfRule>
    <cfRule type="expression" priority="2" dxfId="2">
      <formula>$B2="Grupo B"</formula>
    </cfRule>
    <cfRule type="expression" priority="3" dxfId="3">
      <formula>$B2="Grupo C"</formula>
    </cfRule>
    <cfRule type="expression" priority="4" dxfId="4">
      <formula>$B2="Grupo D"</formula>
    </cfRule>
    <cfRule type="expression" priority="5" dxfId="5">
      <formula>$B2="Grupo E"</formula>
    </cfRule>
    <cfRule type="expression" priority="6" dxfId="6">
      <formula>$B2="Grupo F"</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showGridLines="0"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16" customWidth="1" min="4" max="4"/>
    <col width="18" customWidth="1" min="5" max="5"/>
    <col width="14" customWidth="1" min="6" max="6"/>
    <col width="12" customWidth="1" min="7" max="7"/>
  </cols>
  <sheetData>
    <row r="1">
      <c r="A1" s="7" t="inlineStr">
        <is>
          <t>Grupo</t>
        </is>
      </c>
      <c r="B1" s="7" t="inlineStr">
        <is>
          <t>Qtd Times</t>
        </is>
      </c>
      <c r="C1" s="7" t="inlineStr">
        <is>
          <t>Formato Grupos</t>
        </is>
      </c>
      <c r="D1" s="7" t="inlineStr">
        <is>
          <t>Rodadas Previstas</t>
        </is>
      </c>
      <c r="E1" s="7" t="inlineStr">
        <is>
          <t>Confrontos Previstos</t>
        </is>
      </c>
      <c r="F1" s="7" t="inlineStr">
        <is>
          <t>Jogos Lançados</t>
        </is>
      </c>
      <c r="G1" s="7" t="inlineStr">
        <is>
          <t>Pendentes</t>
        </is>
      </c>
    </row>
    <row r="2">
      <c r="A2" t="inlineStr">
        <is>
          <t>Grupo A</t>
        </is>
      </c>
      <c r="B2">
        <f>COUNTIF(Cadastro_Times!$E$2:$E$21,A2)</f>
        <v/>
      </c>
      <c r="C2">
        <f>Config!$B$6</f>
        <v/>
      </c>
      <c r="D2">
        <f>IF(B2&lt;2,0,IF(C2="Ida e volta",(B2-1)*2,B2-1))</f>
        <v/>
      </c>
      <c r="E2">
        <f>IF(B2&lt;2,0,IF(C2="Ida e volta",B2*(B2-1),B2*(B2-1)/2))</f>
        <v/>
      </c>
      <c r="F2">
        <f>COUNTIF(Jogos_Futsal!$A$2:$A$201,A2)</f>
        <v/>
      </c>
      <c r="G2">
        <f>MAX(0,E2-F2)</f>
        <v/>
      </c>
    </row>
    <row r="3">
      <c r="A3" t="inlineStr">
        <is>
          <t>Grupo B</t>
        </is>
      </c>
      <c r="B3">
        <f>COUNTIF(Cadastro_Times!$E$2:$E$21,A3)</f>
        <v/>
      </c>
      <c r="C3">
        <f>Config!$B$6</f>
        <v/>
      </c>
      <c r="D3">
        <f>IF(B3&lt;2,0,IF(C3="Ida e volta",(B3-1)*2,B3-1))</f>
        <v/>
      </c>
      <c r="E3">
        <f>IF(B3&lt;2,0,IF(C3="Ida e volta",B3*(B3-1),B3*(B3-1)/2))</f>
        <v/>
      </c>
      <c r="F3">
        <f>COUNTIF(Jogos_Futsal!$A$2:$A$201,A3)</f>
        <v/>
      </c>
      <c r="G3">
        <f>MAX(0,E3-F3)</f>
        <v/>
      </c>
    </row>
    <row r="4">
      <c r="A4" t="inlineStr">
        <is>
          <t>Grupo C</t>
        </is>
      </c>
      <c r="B4">
        <f>COUNTIF(Cadastro_Times!$E$2:$E$21,A4)</f>
        <v/>
      </c>
      <c r="C4">
        <f>Config!$B$6</f>
        <v/>
      </c>
      <c r="D4">
        <f>IF(B4&lt;2,0,IF(C4="Ida e volta",(B4-1)*2,B4-1))</f>
        <v/>
      </c>
      <c r="E4">
        <f>IF(B4&lt;2,0,IF(C4="Ida e volta",B4*(B4-1),B4*(B4-1)/2))</f>
        <v/>
      </c>
      <c r="F4">
        <f>COUNTIF(Jogos_Futsal!$A$2:$A$201,A4)</f>
        <v/>
      </c>
      <c r="G4">
        <f>MAX(0,E4-F4)</f>
        <v/>
      </c>
    </row>
    <row r="5">
      <c r="A5" t="inlineStr">
        <is>
          <t>Grupo D</t>
        </is>
      </c>
      <c r="B5">
        <f>COUNTIF(Cadastro_Times!$E$2:$E$21,A5)</f>
        <v/>
      </c>
      <c r="C5">
        <f>Config!$B$6</f>
        <v/>
      </c>
      <c r="D5">
        <f>IF(B5&lt;2,0,IF(C5="Ida e volta",(B5-1)*2,B5-1))</f>
        <v/>
      </c>
      <c r="E5">
        <f>IF(B5&lt;2,0,IF(C5="Ida e volta",B5*(B5-1),B5*(B5-1)/2))</f>
        <v/>
      </c>
      <c r="F5">
        <f>COUNTIF(Jogos_Futsal!$A$2:$A$201,A5)</f>
        <v/>
      </c>
      <c r="G5">
        <f>MAX(0,E5-F5)</f>
        <v/>
      </c>
    </row>
    <row r="6">
      <c r="A6" t="inlineStr">
        <is>
          <t>Grupo E</t>
        </is>
      </c>
      <c r="B6">
        <f>COUNTIF(Cadastro_Times!$E$2:$E$21,A6)</f>
        <v/>
      </c>
      <c r="C6">
        <f>Config!$B$6</f>
        <v/>
      </c>
      <c r="D6">
        <f>IF(B6&lt;2,0,IF(C6="Ida e volta",(B6-1)*2,B6-1))</f>
        <v/>
      </c>
      <c r="E6">
        <f>IF(B6&lt;2,0,IF(C6="Ida e volta",B6*(B6-1),B6*(B6-1)/2))</f>
        <v/>
      </c>
      <c r="F6">
        <f>COUNTIF(Jogos_Futsal!$A$2:$A$201,A6)</f>
        <v/>
      </c>
      <c r="G6">
        <f>MAX(0,E6-F6)</f>
        <v/>
      </c>
    </row>
    <row r="7">
      <c r="A7" t="inlineStr">
        <is>
          <t>Grupo F</t>
        </is>
      </c>
      <c r="B7">
        <f>COUNTIF(Cadastro_Times!$E$2:$E$21,A7)</f>
        <v/>
      </c>
      <c r="C7">
        <f>Config!$B$6</f>
        <v/>
      </c>
      <c r="D7">
        <f>IF(B7&lt;2,0,IF(C7="Ida e volta",(B7-1)*2,B7-1))</f>
        <v/>
      </c>
      <c r="E7">
        <f>IF(B7&lt;2,0,IF(C7="Ida e volta",B7*(B7-1),B7*(B7-1)/2))</f>
        <v/>
      </c>
      <c r="F7">
        <f>COUNTIF(Jogos_Futsal!$A$2:$A$201,A7)</f>
        <v/>
      </c>
      <c r="G7">
        <f>MAX(0,E7-F7)</f>
        <v/>
      </c>
    </row>
    <row r="10">
      <c r="A10" s="10" t="inlineStr">
        <is>
          <t>Mata-mata Futsal</t>
        </is>
      </c>
    </row>
    <row r="11">
      <c r="A11" s="9" t="inlineStr">
        <is>
          <t>Formato</t>
        </is>
      </c>
      <c r="B11" s="9" t="inlineStr">
        <is>
          <t>Semifinais</t>
        </is>
      </c>
      <c r="C11" s="9" t="inlineStr">
        <is>
          <t>3º Lugar</t>
        </is>
      </c>
      <c r="D11" s="9" t="inlineStr">
        <is>
          <t>Final</t>
        </is>
      </c>
      <c r="E11" s="9" t="inlineStr">
        <is>
          <t>Total Previsto</t>
        </is>
      </c>
    </row>
    <row r="12">
      <c r="A12">
        <f>Config!$B$13</f>
        <v/>
      </c>
      <c r="B12">
        <f>IF(A12="Ida e volta",4,2)</f>
        <v/>
      </c>
      <c r="C12">
        <f>IF(A12="Ida e volta",2,1)</f>
        <v/>
      </c>
      <c r="D12">
        <f>IF(A12="Ida e volta",2,1)</f>
        <v/>
      </c>
      <c r="E12">
        <f>SUM(B12:D12)</f>
        <v/>
      </c>
    </row>
  </sheetData>
  <autoFilter ref="A1:G7"/>
  <conditionalFormatting sqref="A2:G7">
    <cfRule type="expression" priority="1" dxfId="1">
      <formula>$A2="Grupo A"</formula>
    </cfRule>
    <cfRule type="expression" priority="2" dxfId="2">
      <formula>$A2="Grupo B"</formula>
    </cfRule>
    <cfRule type="expression" priority="3" dxfId="3">
      <formula>$A2="Grupo C"</formula>
    </cfRule>
    <cfRule type="expression" priority="4" dxfId="4">
      <formula>$A2="Grupo D"</formula>
    </cfRule>
    <cfRule type="expression" priority="5" dxfId="5">
      <formula>$A2="Grupo E"</formula>
    </cfRule>
    <cfRule type="expression" priority="6" dxfId="6">
      <formula>$A2="Grupo F"</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01"/>
  <sheetViews>
    <sheetView showGridLines="0"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22" customWidth="1" min="4" max="4"/>
    <col width="8" customWidth="1" min="5" max="5"/>
    <col width="22" customWidth="1" min="6" max="6"/>
    <col width="8" customWidth="1" min="7" max="7"/>
    <col width="28" customWidth="1" min="8" max="8"/>
    <col width="12" customWidth="1" min="9" max="9"/>
    <col width="12" customWidth="1" min="10" max="10"/>
    <col width="12" customWidth="1" min="11" max="11"/>
    <col width="12" customWidth="1" min="12" max="12"/>
    <col width="22" customWidth="1" min="13" max="13"/>
  </cols>
  <sheetData>
    <row r="1">
      <c r="A1" s="9" t="inlineStr">
        <is>
          <t>Grupo</t>
        </is>
      </c>
      <c r="B1" s="9" t="inlineStr">
        <is>
          <t>Rodada</t>
        </is>
      </c>
      <c r="C1" s="9" t="inlineStr">
        <is>
          <t>Data</t>
        </is>
      </c>
      <c r="D1" s="9" t="inlineStr">
        <is>
          <t>Mandante</t>
        </is>
      </c>
      <c r="E1" s="9" t="inlineStr">
        <is>
          <t>Sets M</t>
        </is>
      </c>
      <c r="F1" s="9" t="inlineStr">
        <is>
          <t>Visitante</t>
        </is>
      </c>
      <c r="G1" s="9" t="inlineStr">
        <is>
          <t>Sets V</t>
        </is>
      </c>
      <c r="H1" s="9" t="inlineStr">
        <is>
          <t>WO</t>
        </is>
      </c>
      <c r="I1" s="9" t="inlineStr">
        <is>
          <t>Rally Pts M</t>
        </is>
      </c>
      <c r="J1" s="9" t="inlineStr">
        <is>
          <t>Rally Pts V</t>
        </is>
      </c>
      <c r="K1" s="9" t="inlineStr">
        <is>
          <t>Pts Tab M</t>
        </is>
      </c>
      <c r="L1" s="9" t="inlineStr">
        <is>
          <t>Pts Tab V</t>
        </is>
      </c>
      <c r="M1" s="9" t="inlineStr">
        <is>
          <t>Vencedor</t>
        </is>
      </c>
    </row>
    <row r="2">
      <c r="K2">
        <f>IF(H2="Mandante venceu por WO",Config!$B$19,IF(H2="Visitante venceu por WO",0,IF(OR(E2="",G2=""),"",IF(E2&gt;G2,IF(G2=0,Config!$B$16,Config!$B$17),IF(G2&gt;E2,IF(E2&gt;0,Config!$B$18,0),"")))))</f>
        <v/>
      </c>
      <c r="L2">
        <f>IF(H2="Visitante venceu por WO",Config!$B$19,IF(H2="Mandante venceu por WO",0,IF(OR(E2="",G2=""),"",IF(G2&gt;E2,IF(E2=0,Config!$B$16,Config!$B$17),IF(E2&gt;G2,IF(G2&gt;0,Config!$B$18,0),"")))))</f>
        <v/>
      </c>
      <c r="M2">
        <f>IF(H2="Mandante venceu por WO",D2,IF(H2="Visitante venceu por WO",F2,IF(OR(E2="",G2=""),"",IF(E2&gt;G2,D2,F2))))</f>
        <v/>
      </c>
    </row>
    <row r="3">
      <c r="K3">
        <f>IF(H3="Mandante venceu por WO",Config!$B$19,IF(H3="Visitante venceu por WO",0,IF(OR(E3="",G3=""),"",IF(E3&gt;G3,IF(G3=0,Config!$B$16,Config!$B$17),IF(G3&gt;E3,IF(E3&gt;0,Config!$B$18,0),"")))))</f>
        <v/>
      </c>
      <c r="L3">
        <f>IF(H3="Visitante venceu por WO",Config!$B$19,IF(H3="Mandante venceu por WO",0,IF(OR(E3="",G3=""),"",IF(G3&gt;E3,IF(E3=0,Config!$B$16,Config!$B$17),IF(E3&gt;G3,IF(G3&gt;0,Config!$B$18,0),"")))))</f>
        <v/>
      </c>
      <c r="M3">
        <f>IF(H3="Mandante venceu por WO",D3,IF(H3="Visitante venceu por WO",F3,IF(OR(E3="",G3=""),"",IF(E3&gt;G3,D3,F3))))</f>
        <v/>
      </c>
    </row>
    <row r="4">
      <c r="K4">
        <f>IF(H4="Mandante venceu por WO",Config!$B$19,IF(H4="Visitante venceu por WO",0,IF(OR(E4="",G4=""),"",IF(E4&gt;G4,IF(G4=0,Config!$B$16,Config!$B$17),IF(G4&gt;E4,IF(E4&gt;0,Config!$B$18,0),"")))))</f>
        <v/>
      </c>
      <c r="L4">
        <f>IF(H4="Visitante venceu por WO",Config!$B$19,IF(H4="Mandante venceu por WO",0,IF(OR(E4="",G4=""),"",IF(G4&gt;E4,IF(E4=0,Config!$B$16,Config!$B$17),IF(E4&gt;G4,IF(G4&gt;0,Config!$B$18,0),"")))))</f>
        <v/>
      </c>
      <c r="M4">
        <f>IF(H4="Mandante venceu por WO",D4,IF(H4="Visitante venceu por WO",F4,IF(OR(E4="",G4=""),"",IF(E4&gt;G4,D4,F4))))</f>
        <v/>
      </c>
    </row>
    <row r="5">
      <c r="K5">
        <f>IF(H5="Mandante venceu por WO",Config!$B$19,IF(H5="Visitante venceu por WO",0,IF(OR(E5="",G5=""),"",IF(E5&gt;G5,IF(G5=0,Config!$B$16,Config!$B$17),IF(G5&gt;E5,IF(E5&gt;0,Config!$B$18,0),"")))))</f>
        <v/>
      </c>
      <c r="L5">
        <f>IF(H5="Visitante venceu por WO",Config!$B$19,IF(H5="Mandante venceu por WO",0,IF(OR(E5="",G5=""),"",IF(G5&gt;E5,IF(E5=0,Config!$B$16,Config!$B$17),IF(E5&gt;G5,IF(G5&gt;0,Config!$B$18,0),"")))))</f>
        <v/>
      </c>
      <c r="M5">
        <f>IF(H5="Mandante venceu por WO",D5,IF(H5="Visitante venceu por WO",F5,IF(OR(E5="",G5=""),"",IF(E5&gt;G5,D5,F5))))</f>
        <v/>
      </c>
    </row>
    <row r="6">
      <c r="K6">
        <f>IF(H6="Mandante venceu por WO",Config!$B$19,IF(H6="Visitante venceu por WO",0,IF(OR(E6="",G6=""),"",IF(E6&gt;G6,IF(G6=0,Config!$B$16,Config!$B$17),IF(G6&gt;E6,IF(E6&gt;0,Config!$B$18,0),"")))))</f>
        <v/>
      </c>
      <c r="L6">
        <f>IF(H6="Visitante venceu por WO",Config!$B$19,IF(H6="Mandante venceu por WO",0,IF(OR(E6="",G6=""),"",IF(G6&gt;E6,IF(E6=0,Config!$B$16,Config!$B$17),IF(E6&gt;G6,IF(G6&gt;0,Config!$B$18,0),"")))))</f>
        <v/>
      </c>
      <c r="M6">
        <f>IF(H6="Mandante venceu por WO",D6,IF(H6="Visitante venceu por WO",F6,IF(OR(E6="",G6=""),"",IF(E6&gt;G6,D6,F6))))</f>
        <v/>
      </c>
    </row>
    <row r="7">
      <c r="K7">
        <f>IF(H7="Mandante venceu por WO",Config!$B$19,IF(H7="Visitante venceu por WO",0,IF(OR(E7="",G7=""),"",IF(E7&gt;G7,IF(G7=0,Config!$B$16,Config!$B$17),IF(G7&gt;E7,IF(E7&gt;0,Config!$B$18,0),"")))))</f>
        <v/>
      </c>
      <c r="L7">
        <f>IF(H7="Visitante venceu por WO",Config!$B$19,IF(H7="Mandante venceu por WO",0,IF(OR(E7="",G7=""),"",IF(G7&gt;E7,IF(E7=0,Config!$B$16,Config!$B$17),IF(E7&gt;G7,IF(G7&gt;0,Config!$B$18,0),"")))))</f>
        <v/>
      </c>
      <c r="M7">
        <f>IF(H7="Mandante venceu por WO",D7,IF(H7="Visitante venceu por WO",F7,IF(OR(E7="",G7=""),"",IF(E7&gt;G7,D7,F7))))</f>
        <v/>
      </c>
    </row>
    <row r="8">
      <c r="K8">
        <f>IF(H8="Mandante venceu por WO",Config!$B$19,IF(H8="Visitante venceu por WO",0,IF(OR(E8="",G8=""),"",IF(E8&gt;G8,IF(G8=0,Config!$B$16,Config!$B$17),IF(G8&gt;E8,IF(E8&gt;0,Config!$B$18,0),"")))))</f>
        <v/>
      </c>
      <c r="L8">
        <f>IF(H8="Visitante venceu por WO",Config!$B$19,IF(H8="Mandante venceu por WO",0,IF(OR(E8="",G8=""),"",IF(G8&gt;E8,IF(E8=0,Config!$B$16,Config!$B$17),IF(E8&gt;G8,IF(G8&gt;0,Config!$B$18,0),"")))))</f>
        <v/>
      </c>
      <c r="M8">
        <f>IF(H8="Mandante venceu por WO",D8,IF(H8="Visitante venceu por WO",F8,IF(OR(E8="",G8=""),"",IF(E8&gt;G8,D8,F8))))</f>
        <v/>
      </c>
    </row>
    <row r="9">
      <c r="K9">
        <f>IF(H9="Mandante venceu por WO",Config!$B$19,IF(H9="Visitante venceu por WO",0,IF(OR(E9="",G9=""),"",IF(E9&gt;G9,IF(G9=0,Config!$B$16,Config!$B$17),IF(G9&gt;E9,IF(E9&gt;0,Config!$B$18,0),"")))))</f>
        <v/>
      </c>
      <c r="L9">
        <f>IF(H9="Visitante venceu por WO",Config!$B$19,IF(H9="Mandante venceu por WO",0,IF(OR(E9="",G9=""),"",IF(G9&gt;E9,IF(E9=0,Config!$B$16,Config!$B$17),IF(E9&gt;G9,IF(G9&gt;0,Config!$B$18,0),"")))))</f>
        <v/>
      </c>
      <c r="M9">
        <f>IF(H9="Mandante venceu por WO",D9,IF(H9="Visitante venceu por WO",F9,IF(OR(E9="",G9=""),"",IF(E9&gt;G9,D9,F9))))</f>
        <v/>
      </c>
    </row>
    <row r="10">
      <c r="K10">
        <f>IF(H10="Mandante venceu por WO",Config!$B$19,IF(H10="Visitante venceu por WO",0,IF(OR(E10="",G10=""),"",IF(E10&gt;G10,IF(G10=0,Config!$B$16,Config!$B$17),IF(G10&gt;E10,IF(E10&gt;0,Config!$B$18,0),"")))))</f>
        <v/>
      </c>
      <c r="L10">
        <f>IF(H10="Visitante venceu por WO",Config!$B$19,IF(H10="Mandante venceu por WO",0,IF(OR(E10="",G10=""),"",IF(G10&gt;E10,IF(E10=0,Config!$B$16,Config!$B$17),IF(E10&gt;G10,IF(G10&gt;0,Config!$B$18,0),"")))))</f>
        <v/>
      </c>
      <c r="M10">
        <f>IF(H10="Mandante venceu por WO",D10,IF(H10="Visitante venceu por WO",F10,IF(OR(E10="",G10=""),"",IF(E10&gt;G10,D10,F10))))</f>
        <v/>
      </c>
    </row>
    <row r="11">
      <c r="K11">
        <f>IF(H11="Mandante venceu por WO",Config!$B$19,IF(H11="Visitante venceu por WO",0,IF(OR(E11="",G11=""),"",IF(E11&gt;G11,IF(G11=0,Config!$B$16,Config!$B$17),IF(G11&gt;E11,IF(E11&gt;0,Config!$B$18,0),"")))))</f>
        <v/>
      </c>
      <c r="L11">
        <f>IF(H11="Visitante venceu por WO",Config!$B$19,IF(H11="Mandante venceu por WO",0,IF(OR(E11="",G11=""),"",IF(G11&gt;E11,IF(E11=0,Config!$B$16,Config!$B$17),IF(E11&gt;G11,IF(G11&gt;0,Config!$B$18,0),"")))))</f>
        <v/>
      </c>
      <c r="M11">
        <f>IF(H11="Mandante venceu por WO",D11,IF(H11="Visitante venceu por WO",F11,IF(OR(E11="",G11=""),"",IF(E11&gt;G11,D11,F11))))</f>
        <v/>
      </c>
    </row>
    <row r="12">
      <c r="K12">
        <f>IF(H12="Mandante venceu por WO",Config!$B$19,IF(H12="Visitante venceu por WO",0,IF(OR(E12="",G12=""),"",IF(E12&gt;G12,IF(G12=0,Config!$B$16,Config!$B$17),IF(G12&gt;E12,IF(E12&gt;0,Config!$B$18,0),"")))))</f>
        <v/>
      </c>
      <c r="L12">
        <f>IF(H12="Visitante venceu por WO",Config!$B$19,IF(H12="Mandante venceu por WO",0,IF(OR(E12="",G12=""),"",IF(G12&gt;E12,IF(E12=0,Config!$B$16,Config!$B$17),IF(E12&gt;G12,IF(G12&gt;0,Config!$B$18,0),"")))))</f>
        <v/>
      </c>
      <c r="M12">
        <f>IF(H12="Mandante venceu por WO",D12,IF(H12="Visitante venceu por WO",F12,IF(OR(E12="",G12=""),"",IF(E12&gt;G12,D12,F12))))</f>
        <v/>
      </c>
    </row>
    <row r="13">
      <c r="K13">
        <f>IF(H13="Mandante venceu por WO",Config!$B$19,IF(H13="Visitante venceu por WO",0,IF(OR(E13="",G13=""),"",IF(E13&gt;G13,IF(G13=0,Config!$B$16,Config!$B$17),IF(G13&gt;E13,IF(E13&gt;0,Config!$B$18,0),"")))))</f>
        <v/>
      </c>
      <c r="L13">
        <f>IF(H13="Visitante venceu por WO",Config!$B$19,IF(H13="Mandante venceu por WO",0,IF(OR(E13="",G13=""),"",IF(G13&gt;E13,IF(E13=0,Config!$B$16,Config!$B$17),IF(E13&gt;G13,IF(G13&gt;0,Config!$B$18,0),"")))))</f>
        <v/>
      </c>
      <c r="M13">
        <f>IF(H13="Mandante venceu por WO",D13,IF(H13="Visitante venceu por WO",F13,IF(OR(E13="",G13=""),"",IF(E13&gt;G13,D13,F13))))</f>
        <v/>
      </c>
    </row>
    <row r="14">
      <c r="K14">
        <f>IF(H14="Mandante venceu por WO",Config!$B$19,IF(H14="Visitante venceu por WO",0,IF(OR(E14="",G14=""),"",IF(E14&gt;G14,IF(G14=0,Config!$B$16,Config!$B$17),IF(G14&gt;E14,IF(E14&gt;0,Config!$B$18,0),"")))))</f>
        <v/>
      </c>
      <c r="L14">
        <f>IF(H14="Visitante venceu por WO",Config!$B$19,IF(H14="Mandante venceu por WO",0,IF(OR(E14="",G14=""),"",IF(G14&gt;E14,IF(E14=0,Config!$B$16,Config!$B$17),IF(E14&gt;G14,IF(G14&gt;0,Config!$B$18,0),"")))))</f>
        <v/>
      </c>
      <c r="M14">
        <f>IF(H14="Mandante venceu por WO",D14,IF(H14="Visitante venceu por WO",F14,IF(OR(E14="",G14=""),"",IF(E14&gt;G14,D14,F14))))</f>
        <v/>
      </c>
    </row>
    <row r="15">
      <c r="K15">
        <f>IF(H15="Mandante venceu por WO",Config!$B$19,IF(H15="Visitante venceu por WO",0,IF(OR(E15="",G15=""),"",IF(E15&gt;G15,IF(G15=0,Config!$B$16,Config!$B$17),IF(G15&gt;E15,IF(E15&gt;0,Config!$B$18,0),"")))))</f>
        <v/>
      </c>
      <c r="L15">
        <f>IF(H15="Visitante venceu por WO",Config!$B$19,IF(H15="Mandante venceu por WO",0,IF(OR(E15="",G15=""),"",IF(G15&gt;E15,IF(E15=0,Config!$B$16,Config!$B$17),IF(E15&gt;G15,IF(G15&gt;0,Config!$B$18,0),"")))))</f>
        <v/>
      </c>
      <c r="M15">
        <f>IF(H15="Mandante venceu por WO",D15,IF(H15="Visitante venceu por WO",F15,IF(OR(E15="",G15=""),"",IF(E15&gt;G15,D15,F15))))</f>
        <v/>
      </c>
    </row>
    <row r="16">
      <c r="K16">
        <f>IF(H16="Mandante venceu por WO",Config!$B$19,IF(H16="Visitante venceu por WO",0,IF(OR(E16="",G16=""),"",IF(E16&gt;G16,IF(G16=0,Config!$B$16,Config!$B$17),IF(G16&gt;E16,IF(E16&gt;0,Config!$B$18,0),"")))))</f>
        <v/>
      </c>
      <c r="L16">
        <f>IF(H16="Visitante venceu por WO",Config!$B$19,IF(H16="Mandante venceu por WO",0,IF(OR(E16="",G16=""),"",IF(G16&gt;E16,IF(E16=0,Config!$B$16,Config!$B$17),IF(E16&gt;G16,IF(G16&gt;0,Config!$B$18,0),"")))))</f>
        <v/>
      </c>
      <c r="M16">
        <f>IF(H16="Mandante venceu por WO",D16,IF(H16="Visitante venceu por WO",F16,IF(OR(E16="",G16=""),"",IF(E16&gt;G16,D16,F16))))</f>
        <v/>
      </c>
    </row>
    <row r="17">
      <c r="K17">
        <f>IF(H17="Mandante venceu por WO",Config!$B$19,IF(H17="Visitante venceu por WO",0,IF(OR(E17="",G17=""),"",IF(E17&gt;G17,IF(G17=0,Config!$B$16,Config!$B$17),IF(G17&gt;E17,IF(E17&gt;0,Config!$B$18,0),"")))))</f>
        <v/>
      </c>
      <c r="L17">
        <f>IF(H17="Visitante venceu por WO",Config!$B$19,IF(H17="Mandante venceu por WO",0,IF(OR(E17="",G17=""),"",IF(G17&gt;E17,IF(E17=0,Config!$B$16,Config!$B$17),IF(E17&gt;G17,IF(G17&gt;0,Config!$B$18,0),"")))))</f>
        <v/>
      </c>
      <c r="M17">
        <f>IF(H17="Mandante venceu por WO",D17,IF(H17="Visitante venceu por WO",F17,IF(OR(E17="",G17=""),"",IF(E17&gt;G17,D17,F17))))</f>
        <v/>
      </c>
    </row>
    <row r="18">
      <c r="K18">
        <f>IF(H18="Mandante venceu por WO",Config!$B$19,IF(H18="Visitante venceu por WO",0,IF(OR(E18="",G18=""),"",IF(E18&gt;G18,IF(G18=0,Config!$B$16,Config!$B$17),IF(G18&gt;E18,IF(E18&gt;0,Config!$B$18,0),"")))))</f>
        <v/>
      </c>
      <c r="L18">
        <f>IF(H18="Visitante venceu por WO",Config!$B$19,IF(H18="Mandante venceu por WO",0,IF(OR(E18="",G18=""),"",IF(G18&gt;E18,IF(E18=0,Config!$B$16,Config!$B$17),IF(E18&gt;G18,IF(G18&gt;0,Config!$B$18,0),"")))))</f>
        <v/>
      </c>
      <c r="M18">
        <f>IF(H18="Mandante venceu por WO",D18,IF(H18="Visitante venceu por WO",F18,IF(OR(E18="",G18=""),"",IF(E18&gt;G18,D18,F18))))</f>
        <v/>
      </c>
    </row>
    <row r="19">
      <c r="K19">
        <f>IF(H19="Mandante venceu por WO",Config!$B$19,IF(H19="Visitante venceu por WO",0,IF(OR(E19="",G19=""),"",IF(E19&gt;G19,IF(G19=0,Config!$B$16,Config!$B$17),IF(G19&gt;E19,IF(E19&gt;0,Config!$B$18,0),"")))))</f>
        <v/>
      </c>
      <c r="L19">
        <f>IF(H19="Visitante venceu por WO",Config!$B$19,IF(H19="Mandante venceu por WO",0,IF(OR(E19="",G19=""),"",IF(G19&gt;E19,IF(E19=0,Config!$B$16,Config!$B$17),IF(E19&gt;G19,IF(G19&gt;0,Config!$B$18,0),"")))))</f>
        <v/>
      </c>
      <c r="M19">
        <f>IF(H19="Mandante venceu por WO",D19,IF(H19="Visitante venceu por WO",F19,IF(OR(E19="",G19=""),"",IF(E19&gt;G19,D19,F19))))</f>
        <v/>
      </c>
    </row>
    <row r="20">
      <c r="K20">
        <f>IF(H20="Mandante venceu por WO",Config!$B$19,IF(H20="Visitante venceu por WO",0,IF(OR(E20="",G20=""),"",IF(E20&gt;G20,IF(G20=0,Config!$B$16,Config!$B$17),IF(G20&gt;E20,IF(E20&gt;0,Config!$B$18,0),"")))))</f>
        <v/>
      </c>
      <c r="L20">
        <f>IF(H20="Visitante venceu por WO",Config!$B$19,IF(H20="Mandante venceu por WO",0,IF(OR(E20="",G20=""),"",IF(G20&gt;E20,IF(E20=0,Config!$B$16,Config!$B$17),IF(E20&gt;G20,IF(G20&gt;0,Config!$B$18,0),"")))))</f>
        <v/>
      </c>
      <c r="M20">
        <f>IF(H20="Mandante venceu por WO",D20,IF(H20="Visitante venceu por WO",F20,IF(OR(E20="",G20=""),"",IF(E20&gt;G20,D20,F20))))</f>
        <v/>
      </c>
    </row>
    <row r="21">
      <c r="K21">
        <f>IF(H21="Mandante venceu por WO",Config!$B$19,IF(H21="Visitante venceu por WO",0,IF(OR(E21="",G21=""),"",IF(E21&gt;G21,IF(G21=0,Config!$B$16,Config!$B$17),IF(G21&gt;E21,IF(E21&gt;0,Config!$B$18,0),"")))))</f>
        <v/>
      </c>
      <c r="L21">
        <f>IF(H21="Visitante venceu por WO",Config!$B$19,IF(H21="Mandante venceu por WO",0,IF(OR(E21="",G21=""),"",IF(G21&gt;E21,IF(E21=0,Config!$B$16,Config!$B$17),IF(E21&gt;G21,IF(G21&gt;0,Config!$B$18,0),"")))))</f>
        <v/>
      </c>
      <c r="M21">
        <f>IF(H21="Mandante venceu por WO",D21,IF(H21="Visitante venceu por WO",F21,IF(OR(E21="",G21=""),"",IF(E21&gt;G21,D21,F21))))</f>
        <v/>
      </c>
    </row>
    <row r="22">
      <c r="K22">
        <f>IF(H22="Mandante venceu por WO",Config!$B$19,IF(H22="Visitante venceu por WO",0,IF(OR(E22="",G22=""),"",IF(E22&gt;G22,IF(G22=0,Config!$B$16,Config!$B$17),IF(G22&gt;E22,IF(E22&gt;0,Config!$B$18,0),"")))))</f>
        <v/>
      </c>
      <c r="L22">
        <f>IF(H22="Visitante venceu por WO",Config!$B$19,IF(H22="Mandante venceu por WO",0,IF(OR(E22="",G22=""),"",IF(G22&gt;E22,IF(E22=0,Config!$B$16,Config!$B$17),IF(E22&gt;G22,IF(G22&gt;0,Config!$B$18,0),"")))))</f>
        <v/>
      </c>
      <c r="M22">
        <f>IF(H22="Mandante venceu por WO",D22,IF(H22="Visitante venceu por WO",F22,IF(OR(E22="",G22=""),"",IF(E22&gt;G22,D22,F22))))</f>
        <v/>
      </c>
    </row>
    <row r="23">
      <c r="K23">
        <f>IF(H23="Mandante venceu por WO",Config!$B$19,IF(H23="Visitante venceu por WO",0,IF(OR(E23="",G23=""),"",IF(E23&gt;G23,IF(G23=0,Config!$B$16,Config!$B$17),IF(G23&gt;E23,IF(E23&gt;0,Config!$B$18,0),"")))))</f>
        <v/>
      </c>
      <c r="L23">
        <f>IF(H23="Visitante venceu por WO",Config!$B$19,IF(H23="Mandante venceu por WO",0,IF(OR(E23="",G23=""),"",IF(G23&gt;E23,IF(E23=0,Config!$B$16,Config!$B$17),IF(E23&gt;G23,IF(G23&gt;0,Config!$B$18,0),"")))))</f>
        <v/>
      </c>
      <c r="M23">
        <f>IF(H23="Mandante venceu por WO",D23,IF(H23="Visitante venceu por WO",F23,IF(OR(E23="",G23=""),"",IF(E23&gt;G23,D23,F23))))</f>
        <v/>
      </c>
    </row>
    <row r="24">
      <c r="K24">
        <f>IF(H24="Mandante venceu por WO",Config!$B$19,IF(H24="Visitante venceu por WO",0,IF(OR(E24="",G24=""),"",IF(E24&gt;G24,IF(G24=0,Config!$B$16,Config!$B$17),IF(G24&gt;E24,IF(E24&gt;0,Config!$B$18,0),"")))))</f>
        <v/>
      </c>
      <c r="L24">
        <f>IF(H24="Visitante venceu por WO",Config!$B$19,IF(H24="Mandante venceu por WO",0,IF(OR(E24="",G24=""),"",IF(G24&gt;E24,IF(E24=0,Config!$B$16,Config!$B$17),IF(E24&gt;G24,IF(G24&gt;0,Config!$B$18,0),"")))))</f>
        <v/>
      </c>
      <c r="M24">
        <f>IF(H24="Mandante venceu por WO",D24,IF(H24="Visitante venceu por WO",F24,IF(OR(E24="",G24=""),"",IF(E24&gt;G24,D24,F24))))</f>
        <v/>
      </c>
    </row>
    <row r="25">
      <c r="K25">
        <f>IF(H25="Mandante venceu por WO",Config!$B$19,IF(H25="Visitante venceu por WO",0,IF(OR(E25="",G25=""),"",IF(E25&gt;G25,IF(G25=0,Config!$B$16,Config!$B$17),IF(G25&gt;E25,IF(E25&gt;0,Config!$B$18,0),"")))))</f>
        <v/>
      </c>
      <c r="L25">
        <f>IF(H25="Visitante venceu por WO",Config!$B$19,IF(H25="Mandante venceu por WO",0,IF(OR(E25="",G25=""),"",IF(G25&gt;E25,IF(E25=0,Config!$B$16,Config!$B$17),IF(E25&gt;G25,IF(G25&gt;0,Config!$B$18,0),"")))))</f>
        <v/>
      </c>
      <c r="M25">
        <f>IF(H25="Mandante venceu por WO",D25,IF(H25="Visitante venceu por WO",F25,IF(OR(E25="",G25=""),"",IF(E25&gt;G25,D25,F25))))</f>
        <v/>
      </c>
    </row>
    <row r="26">
      <c r="K26">
        <f>IF(H26="Mandante venceu por WO",Config!$B$19,IF(H26="Visitante venceu por WO",0,IF(OR(E26="",G26=""),"",IF(E26&gt;G26,IF(G26=0,Config!$B$16,Config!$B$17),IF(G26&gt;E26,IF(E26&gt;0,Config!$B$18,0),"")))))</f>
        <v/>
      </c>
      <c r="L26">
        <f>IF(H26="Visitante venceu por WO",Config!$B$19,IF(H26="Mandante venceu por WO",0,IF(OR(E26="",G26=""),"",IF(G26&gt;E26,IF(E26=0,Config!$B$16,Config!$B$17),IF(E26&gt;G26,IF(G26&gt;0,Config!$B$18,0),"")))))</f>
        <v/>
      </c>
      <c r="M26">
        <f>IF(H26="Mandante venceu por WO",D26,IF(H26="Visitante venceu por WO",F26,IF(OR(E26="",G26=""),"",IF(E26&gt;G26,D26,F26))))</f>
        <v/>
      </c>
    </row>
    <row r="27">
      <c r="K27">
        <f>IF(H27="Mandante venceu por WO",Config!$B$19,IF(H27="Visitante venceu por WO",0,IF(OR(E27="",G27=""),"",IF(E27&gt;G27,IF(G27=0,Config!$B$16,Config!$B$17),IF(G27&gt;E27,IF(E27&gt;0,Config!$B$18,0),"")))))</f>
        <v/>
      </c>
      <c r="L27">
        <f>IF(H27="Visitante venceu por WO",Config!$B$19,IF(H27="Mandante venceu por WO",0,IF(OR(E27="",G27=""),"",IF(G27&gt;E27,IF(E27=0,Config!$B$16,Config!$B$17),IF(E27&gt;G27,IF(G27&gt;0,Config!$B$18,0),"")))))</f>
        <v/>
      </c>
      <c r="M27">
        <f>IF(H27="Mandante venceu por WO",D27,IF(H27="Visitante venceu por WO",F27,IF(OR(E27="",G27=""),"",IF(E27&gt;G27,D27,F27))))</f>
        <v/>
      </c>
    </row>
    <row r="28">
      <c r="K28">
        <f>IF(H28="Mandante venceu por WO",Config!$B$19,IF(H28="Visitante venceu por WO",0,IF(OR(E28="",G28=""),"",IF(E28&gt;G28,IF(G28=0,Config!$B$16,Config!$B$17),IF(G28&gt;E28,IF(E28&gt;0,Config!$B$18,0),"")))))</f>
        <v/>
      </c>
      <c r="L28">
        <f>IF(H28="Visitante venceu por WO",Config!$B$19,IF(H28="Mandante venceu por WO",0,IF(OR(E28="",G28=""),"",IF(G28&gt;E28,IF(E28=0,Config!$B$16,Config!$B$17),IF(E28&gt;G28,IF(G28&gt;0,Config!$B$18,0),"")))))</f>
        <v/>
      </c>
      <c r="M28">
        <f>IF(H28="Mandante venceu por WO",D28,IF(H28="Visitante venceu por WO",F28,IF(OR(E28="",G28=""),"",IF(E28&gt;G28,D28,F28))))</f>
        <v/>
      </c>
    </row>
    <row r="29">
      <c r="K29">
        <f>IF(H29="Mandante venceu por WO",Config!$B$19,IF(H29="Visitante venceu por WO",0,IF(OR(E29="",G29=""),"",IF(E29&gt;G29,IF(G29=0,Config!$B$16,Config!$B$17),IF(G29&gt;E29,IF(E29&gt;0,Config!$B$18,0),"")))))</f>
        <v/>
      </c>
      <c r="L29">
        <f>IF(H29="Visitante venceu por WO",Config!$B$19,IF(H29="Mandante venceu por WO",0,IF(OR(E29="",G29=""),"",IF(G29&gt;E29,IF(E29=0,Config!$B$16,Config!$B$17),IF(E29&gt;G29,IF(G29&gt;0,Config!$B$18,0),"")))))</f>
        <v/>
      </c>
      <c r="M29">
        <f>IF(H29="Mandante venceu por WO",D29,IF(H29="Visitante venceu por WO",F29,IF(OR(E29="",G29=""),"",IF(E29&gt;G29,D29,F29))))</f>
        <v/>
      </c>
    </row>
    <row r="30">
      <c r="K30">
        <f>IF(H30="Mandante venceu por WO",Config!$B$19,IF(H30="Visitante venceu por WO",0,IF(OR(E30="",G30=""),"",IF(E30&gt;G30,IF(G30=0,Config!$B$16,Config!$B$17),IF(G30&gt;E30,IF(E30&gt;0,Config!$B$18,0),"")))))</f>
        <v/>
      </c>
      <c r="L30">
        <f>IF(H30="Visitante venceu por WO",Config!$B$19,IF(H30="Mandante venceu por WO",0,IF(OR(E30="",G30=""),"",IF(G30&gt;E30,IF(E30=0,Config!$B$16,Config!$B$17),IF(E30&gt;G30,IF(G30&gt;0,Config!$B$18,0),"")))))</f>
        <v/>
      </c>
      <c r="M30">
        <f>IF(H30="Mandante venceu por WO",D30,IF(H30="Visitante venceu por WO",F30,IF(OR(E30="",G30=""),"",IF(E30&gt;G30,D30,F30))))</f>
        <v/>
      </c>
    </row>
    <row r="31">
      <c r="K31">
        <f>IF(H31="Mandante venceu por WO",Config!$B$19,IF(H31="Visitante venceu por WO",0,IF(OR(E31="",G31=""),"",IF(E31&gt;G31,IF(G31=0,Config!$B$16,Config!$B$17),IF(G31&gt;E31,IF(E31&gt;0,Config!$B$18,0),"")))))</f>
        <v/>
      </c>
      <c r="L31">
        <f>IF(H31="Visitante venceu por WO",Config!$B$19,IF(H31="Mandante venceu por WO",0,IF(OR(E31="",G31=""),"",IF(G31&gt;E31,IF(E31=0,Config!$B$16,Config!$B$17),IF(E31&gt;G31,IF(G31&gt;0,Config!$B$18,0),"")))))</f>
        <v/>
      </c>
      <c r="M31">
        <f>IF(H31="Mandante venceu por WO",D31,IF(H31="Visitante venceu por WO",F31,IF(OR(E31="",G31=""),"",IF(E31&gt;G31,D31,F31))))</f>
        <v/>
      </c>
    </row>
    <row r="32">
      <c r="K32">
        <f>IF(H32="Mandante venceu por WO",Config!$B$19,IF(H32="Visitante venceu por WO",0,IF(OR(E32="",G32=""),"",IF(E32&gt;G32,IF(G32=0,Config!$B$16,Config!$B$17),IF(G32&gt;E32,IF(E32&gt;0,Config!$B$18,0),"")))))</f>
        <v/>
      </c>
      <c r="L32">
        <f>IF(H32="Visitante venceu por WO",Config!$B$19,IF(H32="Mandante venceu por WO",0,IF(OR(E32="",G32=""),"",IF(G32&gt;E32,IF(E32=0,Config!$B$16,Config!$B$17),IF(E32&gt;G32,IF(G32&gt;0,Config!$B$18,0),"")))))</f>
        <v/>
      </c>
      <c r="M32">
        <f>IF(H32="Mandante venceu por WO",D32,IF(H32="Visitante venceu por WO",F32,IF(OR(E32="",G32=""),"",IF(E32&gt;G32,D32,F32))))</f>
        <v/>
      </c>
    </row>
    <row r="33">
      <c r="K33">
        <f>IF(H33="Mandante venceu por WO",Config!$B$19,IF(H33="Visitante venceu por WO",0,IF(OR(E33="",G33=""),"",IF(E33&gt;G33,IF(G33=0,Config!$B$16,Config!$B$17),IF(G33&gt;E33,IF(E33&gt;0,Config!$B$18,0),"")))))</f>
        <v/>
      </c>
      <c r="L33">
        <f>IF(H33="Visitante venceu por WO",Config!$B$19,IF(H33="Mandante venceu por WO",0,IF(OR(E33="",G33=""),"",IF(G33&gt;E33,IF(E33=0,Config!$B$16,Config!$B$17),IF(E33&gt;G33,IF(G33&gt;0,Config!$B$18,0),"")))))</f>
        <v/>
      </c>
      <c r="M33">
        <f>IF(H33="Mandante venceu por WO",D33,IF(H33="Visitante venceu por WO",F33,IF(OR(E33="",G33=""),"",IF(E33&gt;G33,D33,F33))))</f>
        <v/>
      </c>
    </row>
    <row r="34">
      <c r="K34">
        <f>IF(H34="Mandante venceu por WO",Config!$B$19,IF(H34="Visitante venceu por WO",0,IF(OR(E34="",G34=""),"",IF(E34&gt;G34,IF(G34=0,Config!$B$16,Config!$B$17),IF(G34&gt;E34,IF(E34&gt;0,Config!$B$18,0),"")))))</f>
        <v/>
      </c>
      <c r="L34">
        <f>IF(H34="Visitante venceu por WO",Config!$B$19,IF(H34="Mandante venceu por WO",0,IF(OR(E34="",G34=""),"",IF(G34&gt;E34,IF(E34=0,Config!$B$16,Config!$B$17),IF(E34&gt;G34,IF(G34&gt;0,Config!$B$18,0),"")))))</f>
        <v/>
      </c>
      <c r="M34">
        <f>IF(H34="Mandante venceu por WO",D34,IF(H34="Visitante venceu por WO",F34,IF(OR(E34="",G34=""),"",IF(E34&gt;G34,D34,F34))))</f>
        <v/>
      </c>
    </row>
    <row r="35">
      <c r="K35">
        <f>IF(H35="Mandante venceu por WO",Config!$B$19,IF(H35="Visitante venceu por WO",0,IF(OR(E35="",G35=""),"",IF(E35&gt;G35,IF(G35=0,Config!$B$16,Config!$B$17),IF(G35&gt;E35,IF(E35&gt;0,Config!$B$18,0),"")))))</f>
        <v/>
      </c>
      <c r="L35">
        <f>IF(H35="Visitante venceu por WO",Config!$B$19,IF(H35="Mandante venceu por WO",0,IF(OR(E35="",G35=""),"",IF(G35&gt;E35,IF(E35=0,Config!$B$16,Config!$B$17),IF(E35&gt;G35,IF(G35&gt;0,Config!$B$18,0),"")))))</f>
        <v/>
      </c>
      <c r="M35">
        <f>IF(H35="Mandante venceu por WO",D35,IF(H35="Visitante venceu por WO",F35,IF(OR(E35="",G35=""),"",IF(E35&gt;G35,D35,F35))))</f>
        <v/>
      </c>
    </row>
    <row r="36">
      <c r="K36">
        <f>IF(H36="Mandante venceu por WO",Config!$B$19,IF(H36="Visitante venceu por WO",0,IF(OR(E36="",G36=""),"",IF(E36&gt;G36,IF(G36=0,Config!$B$16,Config!$B$17),IF(G36&gt;E36,IF(E36&gt;0,Config!$B$18,0),"")))))</f>
        <v/>
      </c>
      <c r="L36">
        <f>IF(H36="Visitante venceu por WO",Config!$B$19,IF(H36="Mandante venceu por WO",0,IF(OR(E36="",G36=""),"",IF(G36&gt;E36,IF(E36=0,Config!$B$16,Config!$B$17),IF(E36&gt;G36,IF(G36&gt;0,Config!$B$18,0),"")))))</f>
        <v/>
      </c>
      <c r="M36">
        <f>IF(H36="Mandante venceu por WO",D36,IF(H36="Visitante venceu por WO",F36,IF(OR(E36="",G36=""),"",IF(E36&gt;G36,D36,F36))))</f>
        <v/>
      </c>
    </row>
    <row r="37">
      <c r="K37">
        <f>IF(H37="Mandante venceu por WO",Config!$B$19,IF(H37="Visitante venceu por WO",0,IF(OR(E37="",G37=""),"",IF(E37&gt;G37,IF(G37=0,Config!$B$16,Config!$B$17),IF(G37&gt;E37,IF(E37&gt;0,Config!$B$18,0),"")))))</f>
        <v/>
      </c>
      <c r="L37">
        <f>IF(H37="Visitante venceu por WO",Config!$B$19,IF(H37="Mandante venceu por WO",0,IF(OR(E37="",G37=""),"",IF(G37&gt;E37,IF(E37=0,Config!$B$16,Config!$B$17),IF(E37&gt;G37,IF(G37&gt;0,Config!$B$18,0),"")))))</f>
        <v/>
      </c>
      <c r="M37">
        <f>IF(H37="Mandante venceu por WO",D37,IF(H37="Visitante venceu por WO",F37,IF(OR(E37="",G37=""),"",IF(E37&gt;G37,D37,F37))))</f>
        <v/>
      </c>
    </row>
    <row r="38">
      <c r="K38">
        <f>IF(H38="Mandante venceu por WO",Config!$B$19,IF(H38="Visitante venceu por WO",0,IF(OR(E38="",G38=""),"",IF(E38&gt;G38,IF(G38=0,Config!$B$16,Config!$B$17),IF(G38&gt;E38,IF(E38&gt;0,Config!$B$18,0),"")))))</f>
        <v/>
      </c>
      <c r="L38">
        <f>IF(H38="Visitante venceu por WO",Config!$B$19,IF(H38="Mandante venceu por WO",0,IF(OR(E38="",G38=""),"",IF(G38&gt;E38,IF(E38=0,Config!$B$16,Config!$B$17),IF(E38&gt;G38,IF(G38&gt;0,Config!$B$18,0),"")))))</f>
        <v/>
      </c>
      <c r="M38">
        <f>IF(H38="Mandante venceu por WO",D38,IF(H38="Visitante venceu por WO",F38,IF(OR(E38="",G38=""),"",IF(E38&gt;G38,D38,F38))))</f>
        <v/>
      </c>
    </row>
    <row r="39">
      <c r="K39">
        <f>IF(H39="Mandante venceu por WO",Config!$B$19,IF(H39="Visitante venceu por WO",0,IF(OR(E39="",G39=""),"",IF(E39&gt;G39,IF(G39=0,Config!$B$16,Config!$B$17),IF(G39&gt;E39,IF(E39&gt;0,Config!$B$18,0),"")))))</f>
        <v/>
      </c>
      <c r="L39">
        <f>IF(H39="Visitante venceu por WO",Config!$B$19,IF(H39="Mandante venceu por WO",0,IF(OR(E39="",G39=""),"",IF(G39&gt;E39,IF(E39=0,Config!$B$16,Config!$B$17),IF(E39&gt;G39,IF(G39&gt;0,Config!$B$18,0),"")))))</f>
        <v/>
      </c>
      <c r="M39">
        <f>IF(H39="Mandante venceu por WO",D39,IF(H39="Visitante venceu por WO",F39,IF(OR(E39="",G39=""),"",IF(E39&gt;G39,D39,F39))))</f>
        <v/>
      </c>
    </row>
    <row r="40">
      <c r="K40">
        <f>IF(H40="Mandante venceu por WO",Config!$B$19,IF(H40="Visitante venceu por WO",0,IF(OR(E40="",G40=""),"",IF(E40&gt;G40,IF(G40=0,Config!$B$16,Config!$B$17),IF(G40&gt;E40,IF(E40&gt;0,Config!$B$18,0),"")))))</f>
        <v/>
      </c>
      <c r="L40">
        <f>IF(H40="Visitante venceu por WO",Config!$B$19,IF(H40="Mandante venceu por WO",0,IF(OR(E40="",G40=""),"",IF(G40&gt;E40,IF(E40=0,Config!$B$16,Config!$B$17),IF(E40&gt;G40,IF(G40&gt;0,Config!$B$18,0),"")))))</f>
        <v/>
      </c>
      <c r="M40">
        <f>IF(H40="Mandante venceu por WO",D40,IF(H40="Visitante venceu por WO",F40,IF(OR(E40="",G40=""),"",IF(E40&gt;G40,D40,F40))))</f>
        <v/>
      </c>
    </row>
    <row r="41">
      <c r="K41">
        <f>IF(H41="Mandante venceu por WO",Config!$B$19,IF(H41="Visitante venceu por WO",0,IF(OR(E41="",G41=""),"",IF(E41&gt;G41,IF(G41=0,Config!$B$16,Config!$B$17),IF(G41&gt;E41,IF(E41&gt;0,Config!$B$18,0),"")))))</f>
        <v/>
      </c>
      <c r="L41">
        <f>IF(H41="Visitante venceu por WO",Config!$B$19,IF(H41="Mandante venceu por WO",0,IF(OR(E41="",G41=""),"",IF(G41&gt;E41,IF(E41=0,Config!$B$16,Config!$B$17),IF(E41&gt;G41,IF(G41&gt;0,Config!$B$18,0),"")))))</f>
        <v/>
      </c>
      <c r="M41">
        <f>IF(H41="Mandante venceu por WO",D41,IF(H41="Visitante venceu por WO",F41,IF(OR(E41="",G41=""),"",IF(E41&gt;G41,D41,F41))))</f>
        <v/>
      </c>
    </row>
    <row r="42">
      <c r="K42">
        <f>IF(H42="Mandante venceu por WO",Config!$B$19,IF(H42="Visitante venceu por WO",0,IF(OR(E42="",G42=""),"",IF(E42&gt;G42,IF(G42=0,Config!$B$16,Config!$B$17),IF(G42&gt;E42,IF(E42&gt;0,Config!$B$18,0),"")))))</f>
        <v/>
      </c>
      <c r="L42">
        <f>IF(H42="Visitante venceu por WO",Config!$B$19,IF(H42="Mandante venceu por WO",0,IF(OR(E42="",G42=""),"",IF(G42&gt;E42,IF(E42=0,Config!$B$16,Config!$B$17),IF(E42&gt;G42,IF(G42&gt;0,Config!$B$18,0),"")))))</f>
        <v/>
      </c>
      <c r="M42">
        <f>IF(H42="Mandante venceu por WO",D42,IF(H42="Visitante venceu por WO",F42,IF(OR(E42="",G42=""),"",IF(E42&gt;G42,D42,F42))))</f>
        <v/>
      </c>
    </row>
    <row r="43">
      <c r="K43">
        <f>IF(H43="Mandante venceu por WO",Config!$B$19,IF(H43="Visitante venceu por WO",0,IF(OR(E43="",G43=""),"",IF(E43&gt;G43,IF(G43=0,Config!$B$16,Config!$B$17),IF(G43&gt;E43,IF(E43&gt;0,Config!$B$18,0),"")))))</f>
        <v/>
      </c>
      <c r="L43">
        <f>IF(H43="Visitante venceu por WO",Config!$B$19,IF(H43="Mandante venceu por WO",0,IF(OR(E43="",G43=""),"",IF(G43&gt;E43,IF(E43=0,Config!$B$16,Config!$B$17),IF(E43&gt;G43,IF(G43&gt;0,Config!$B$18,0),"")))))</f>
        <v/>
      </c>
      <c r="M43">
        <f>IF(H43="Mandante venceu por WO",D43,IF(H43="Visitante venceu por WO",F43,IF(OR(E43="",G43=""),"",IF(E43&gt;G43,D43,F43))))</f>
        <v/>
      </c>
    </row>
    <row r="44">
      <c r="K44">
        <f>IF(H44="Mandante venceu por WO",Config!$B$19,IF(H44="Visitante venceu por WO",0,IF(OR(E44="",G44=""),"",IF(E44&gt;G44,IF(G44=0,Config!$B$16,Config!$B$17),IF(G44&gt;E44,IF(E44&gt;0,Config!$B$18,0),"")))))</f>
        <v/>
      </c>
      <c r="L44">
        <f>IF(H44="Visitante venceu por WO",Config!$B$19,IF(H44="Mandante venceu por WO",0,IF(OR(E44="",G44=""),"",IF(G44&gt;E44,IF(E44=0,Config!$B$16,Config!$B$17),IF(E44&gt;G44,IF(G44&gt;0,Config!$B$18,0),"")))))</f>
        <v/>
      </c>
      <c r="M44">
        <f>IF(H44="Mandante venceu por WO",D44,IF(H44="Visitante venceu por WO",F44,IF(OR(E44="",G44=""),"",IF(E44&gt;G44,D44,F44))))</f>
        <v/>
      </c>
    </row>
    <row r="45">
      <c r="K45">
        <f>IF(H45="Mandante venceu por WO",Config!$B$19,IF(H45="Visitante venceu por WO",0,IF(OR(E45="",G45=""),"",IF(E45&gt;G45,IF(G45=0,Config!$B$16,Config!$B$17),IF(G45&gt;E45,IF(E45&gt;0,Config!$B$18,0),"")))))</f>
        <v/>
      </c>
      <c r="L45">
        <f>IF(H45="Visitante venceu por WO",Config!$B$19,IF(H45="Mandante venceu por WO",0,IF(OR(E45="",G45=""),"",IF(G45&gt;E45,IF(E45=0,Config!$B$16,Config!$B$17),IF(E45&gt;G45,IF(G45&gt;0,Config!$B$18,0),"")))))</f>
        <v/>
      </c>
      <c r="M45">
        <f>IF(H45="Mandante venceu por WO",D45,IF(H45="Visitante venceu por WO",F45,IF(OR(E45="",G45=""),"",IF(E45&gt;G45,D45,F45))))</f>
        <v/>
      </c>
    </row>
    <row r="46">
      <c r="K46">
        <f>IF(H46="Mandante venceu por WO",Config!$B$19,IF(H46="Visitante venceu por WO",0,IF(OR(E46="",G46=""),"",IF(E46&gt;G46,IF(G46=0,Config!$B$16,Config!$B$17),IF(G46&gt;E46,IF(E46&gt;0,Config!$B$18,0),"")))))</f>
        <v/>
      </c>
      <c r="L46">
        <f>IF(H46="Visitante venceu por WO",Config!$B$19,IF(H46="Mandante venceu por WO",0,IF(OR(E46="",G46=""),"",IF(G46&gt;E46,IF(E46=0,Config!$B$16,Config!$B$17),IF(E46&gt;G46,IF(G46&gt;0,Config!$B$18,0),"")))))</f>
        <v/>
      </c>
      <c r="M46">
        <f>IF(H46="Mandante venceu por WO",D46,IF(H46="Visitante venceu por WO",F46,IF(OR(E46="",G46=""),"",IF(E46&gt;G46,D46,F46))))</f>
        <v/>
      </c>
    </row>
    <row r="47">
      <c r="K47">
        <f>IF(H47="Mandante venceu por WO",Config!$B$19,IF(H47="Visitante venceu por WO",0,IF(OR(E47="",G47=""),"",IF(E47&gt;G47,IF(G47=0,Config!$B$16,Config!$B$17),IF(G47&gt;E47,IF(E47&gt;0,Config!$B$18,0),"")))))</f>
        <v/>
      </c>
      <c r="L47">
        <f>IF(H47="Visitante venceu por WO",Config!$B$19,IF(H47="Mandante venceu por WO",0,IF(OR(E47="",G47=""),"",IF(G47&gt;E47,IF(E47=0,Config!$B$16,Config!$B$17),IF(E47&gt;G47,IF(G47&gt;0,Config!$B$18,0),"")))))</f>
        <v/>
      </c>
      <c r="M47">
        <f>IF(H47="Mandante venceu por WO",D47,IF(H47="Visitante venceu por WO",F47,IF(OR(E47="",G47=""),"",IF(E47&gt;G47,D47,F47))))</f>
        <v/>
      </c>
    </row>
    <row r="48">
      <c r="K48">
        <f>IF(H48="Mandante venceu por WO",Config!$B$19,IF(H48="Visitante venceu por WO",0,IF(OR(E48="",G48=""),"",IF(E48&gt;G48,IF(G48=0,Config!$B$16,Config!$B$17),IF(G48&gt;E48,IF(E48&gt;0,Config!$B$18,0),"")))))</f>
        <v/>
      </c>
      <c r="L48">
        <f>IF(H48="Visitante venceu por WO",Config!$B$19,IF(H48="Mandante venceu por WO",0,IF(OR(E48="",G48=""),"",IF(G48&gt;E48,IF(E48=0,Config!$B$16,Config!$B$17),IF(E48&gt;G48,IF(G48&gt;0,Config!$B$18,0),"")))))</f>
        <v/>
      </c>
      <c r="M48">
        <f>IF(H48="Mandante venceu por WO",D48,IF(H48="Visitante venceu por WO",F48,IF(OR(E48="",G48=""),"",IF(E48&gt;G48,D48,F48))))</f>
        <v/>
      </c>
    </row>
    <row r="49">
      <c r="K49">
        <f>IF(H49="Mandante venceu por WO",Config!$B$19,IF(H49="Visitante venceu por WO",0,IF(OR(E49="",G49=""),"",IF(E49&gt;G49,IF(G49=0,Config!$B$16,Config!$B$17),IF(G49&gt;E49,IF(E49&gt;0,Config!$B$18,0),"")))))</f>
        <v/>
      </c>
      <c r="L49">
        <f>IF(H49="Visitante venceu por WO",Config!$B$19,IF(H49="Mandante venceu por WO",0,IF(OR(E49="",G49=""),"",IF(G49&gt;E49,IF(E49=0,Config!$B$16,Config!$B$17),IF(E49&gt;G49,IF(G49&gt;0,Config!$B$18,0),"")))))</f>
        <v/>
      </c>
      <c r="M49">
        <f>IF(H49="Mandante venceu por WO",D49,IF(H49="Visitante venceu por WO",F49,IF(OR(E49="",G49=""),"",IF(E49&gt;G49,D49,F49))))</f>
        <v/>
      </c>
    </row>
    <row r="50">
      <c r="K50">
        <f>IF(H50="Mandante venceu por WO",Config!$B$19,IF(H50="Visitante venceu por WO",0,IF(OR(E50="",G50=""),"",IF(E50&gt;G50,IF(G50=0,Config!$B$16,Config!$B$17),IF(G50&gt;E50,IF(E50&gt;0,Config!$B$18,0),"")))))</f>
        <v/>
      </c>
      <c r="L50">
        <f>IF(H50="Visitante venceu por WO",Config!$B$19,IF(H50="Mandante venceu por WO",0,IF(OR(E50="",G50=""),"",IF(G50&gt;E50,IF(E50=0,Config!$B$16,Config!$B$17),IF(E50&gt;G50,IF(G50&gt;0,Config!$B$18,0),"")))))</f>
        <v/>
      </c>
      <c r="M50">
        <f>IF(H50="Mandante venceu por WO",D50,IF(H50="Visitante venceu por WO",F50,IF(OR(E50="",G50=""),"",IF(E50&gt;G50,D50,F50))))</f>
        <v/>
      </c>
    </row>
    <row r="51">
      <c r="K51">
        <f>IF(H51="Mandante venceu por WO",Config!$B$19,IF(H51="Visitante venceu por WO",0,IF(OR(E51="",G51=""),"",IF(E51&gt;G51,IF(G51=0,Config!$B$16,Config!$B$17),IF(G51&gt;E51,IF(E51&gt;0,Config!$B$18,0),"")))))</f>
        <v/>
      </c>
      <c r="L51">
        <f>IF(H51="Visitante venceu por WO",Config!$B$19,IF(H51="Mandante venceu por WO",0,IF(OR(E51="",G51=""),"",IF(G51&gt;E51,IF(E51=0,Config!$B$16,Config!$B$17),IF(E51&gt;G51,IF(G51&gt;0,Config!$B$18,0),"")))))</f>
        <v/>
      </c>
      <c r="M51">
        <f>IF(H51="Mandante venceu por WO",D51,IF(H51="Visitante venceu por WO",F51,IF(OR(E51="",G51=""),"",IF(E51&gt;G51,D51,F51))))</f>
        <v/>
      </c>
    </row>
    <row r="52">
      <c r="K52">
        <f>IF(H52="Mandante venceu por WO",Config!$B$19,IF(H52="Visitante venceu por WO",0,IF(OR(E52="",G52=""),"",IF(E52&gt;G52,IF(G52=0,Config!$B$16,Config!$B$17),IF(G52&gt;E52,IF(E52&gt;0,Config!$B$18,0),"")))))</f>
        <v/>
      </c>
      <c r="L52">
        <f>IF(H52="Visitante venceu por WO",Config!$B$19,IF(H52="Mandante venceu por WO",0,IF(OR(E52="",G52=""),"",IF(G52&gt;E52,IF(E52=0,Config!$B$16,Config!$B$17),IF(E52&gt;G52,IF(G52&gt;0,Config!$B$18,0),"")))))</f>
        <v/>
      </c>
      <c r="M52">
        <f>IF(H52="Mandante venceu por WO",D52,IF(H52="Visitante venceu por WO",F52,IF(OR(E52="",G52=""),"",IF(E52&gt;G52,D52,F52))))</f>
        <v/>
      </c>
    </row>
    <row r="53">
      <c r="K53">
        <f>IF(H53="Mandante venceu por WO",Config!$B$19,IF(H53="Visitante venceu por WO",0,IF(OR(E53="",G53=""),"",IF(E53&gt;G53,IF(G53=0,Config!$B$16,Config!$B$17),IF(G53&gt;E53,IF(E53&gt;0,Config!$B$18,0),"")))))</f>
        <v/>
      </c>
      <c r="L53">
        <f>IF(H53="Visitante venceu por WO",Config!$B$19,IF(H53="Mandante venceu por WO",0,IF(OR(E53="",G53=""),"",IF(G53&gt;E53,IF(E53=0,Config!$B$16,Config!$B$17),IF(E53&gt;G53,IF(G53&gt;0,Config!$B$18,0),"")))))</f>
        <v/>
      </c>
      <c r="M53">
        <f>IF(H53="Mandante venceu por WO",D53,IF(H53="Visitante venceu por WO",F53,IF(OR(E53="",G53=""),"",IF(E53&gt;G53,D53,F53))))</f>
        <v/>
      </c>
    </row>
    <row r="54">
      <c r="K54">
        <f>IF(H54="Mandante venceu por WO",Config!$B$19,IF(H54="Visitante venceu por WO",0,IF(OR(E54="",G54=""),"",IF(E54&gt;G54,IF(G54=0,Config!$B$16,Config!$B$17),IF(G54&gt;E54,IF(E54&gt;0,Config!$B$18,0),"")))))</f>
        <v/>
      </c>
      <c r="L54">
        <f>IF(H54="Visitante venceu por WO",Config!$B$19,IF(H54="Mandante venceu por WO",0,IF(OR(E54="",G54=""),"",IF(G54&gt;E54,IF(E54=0,Config!$B$16,Config!$B$17),IF(E54&gt;G54,IF(G54&gt;0,Config!$B$18,0),"")))))</f>
        <v/>
      </c>
      <c r="M54">
        <f>IF(H54="Mandante venceu por WO",D54,IF(H54="Visitante venceu por WO",F54,IF(OR(E54="",G54=""),"",IF(E54&gt;G54,D54,F54))))</f>
        <v/>
      </c>
    </row>
    <row r="55">
      <c r="K55">
        <f>IF(H55="Mandante venceu por WO",Config!$B$19,IF(H55="Visitante venceu por WO",0,IF(OR(E55="",G55=""),"",IF(E55&gt;G55,IF(G55=0,Config!$B$16,Config!$B$17),IF(G55&gt;E55,IF(E55&gt;0,Config!$B$18,0),"")))))</f>
        <v/>
      </c>
      <c r="L55">
        <f>IF(H55="Visitante venceu por WO",Config!$B$19,IF(H55="Mandante venceu por WO",0,IF(OR(E55="",G55=""),"",IF(G55&gt;E55,IF(E55=0,Config!$B$16,Config!$B$17),IF(E55&gt;G55,IF(G55&gt;0,Config!$B$18,0),"")))))</f>
        <v/>
      </c>
      <c r="M55">
        <f>IF(H55="Mandante venceu por WO",D55,IF(H55="Visitante venceu por WO",F55,IF(OR(E55="",G55=""),"",IF(E55&gt;G55,D55,F55))))</f>
        <v/>
      </c>
    </row>
    <row r="56">
      <c r="K56">
        <f>IF(H56="Mandante venceu por WO",Config!$B$19,IF(H56="Visitante venceu por WO",0,IF(OR(E56="",G56=""),"",IF(E56&gt;G56,IF(G56=0,Config!$B$16,Config!$B$17),IF(G56&gt;E56,IF(E56&gt;0,Config!$B$18,0),"")))))</f>
        <v/>
      </c>
      <c r="L56">
        <f>IF(H56="Visitante venceu por WO",Config!$B$19,IF(H56="Mandante venceu por WO",0,IF(OR(E56="",G56=""),"",IF(G56&gt;E56,IF(E56=0,Config!$B$16,Config!$B$17),IF(E56&gt;G56,IF(G56&gt;0,Config!$B$18,0),"")))))</f>
        <v/>
      </c>
      <c r="M56">
        <f>IF(H56="Mandante venceu por WO",D56,IF(H56="Visitante venceu por WO",F56,IF(OR(E56="",G56=""),"",IF(E56&gt;G56,D56,F56))))</f>
        <v/>
      </c>
    </row>
    <row r="57">
      <c r="K57">
        <f>IF(H57="Mandante venceu por WO",Config!$B$19,IF(H57="Visitante venceu por WO",0,IF(OR(E57="",G57=""),"",IF(E57&gt;G57,IF(G57=0,Config!$B$16,Config!$B$17),IF(G57&gt;E57,IF(E57&gt;0,Config!$B$18,0),"")))))</f>
        <v/>
      </c>
      <c r="L57">
        <f>IF(H57="Visitante venceu por WO",Config!$B$19,IF(H57="Mandante venceu por WO",0,IF(OR(E57="",G57=""),"",IF(G57&gt;E57,IF(E57=0,Config!$B$16,Config!$B$17),IF(E57&gt;G57,IF(G57&gt;0,Config!$B$18,0),"")))))</f>
        <v/>
      </c>
      <c r="M57">
        <f>IF(H57="Mandante venceu por WO",D57,IF(H57="Visitante venceu por WO",F57,IF(OR(E57="",G57=""),"",IF(E57&gt;G57,D57,F57))))</f>
        <v/>
      </c>
    </row>
    <row r="58">
      <c r="K58">
        <f>IF(H58="Mandante venceu por WO",Config!$B$19,IF(H58="Visitante venceu por WO",0,IF(OR(E58="",G58=""),"",IF(E58&gt;G58,IF(G58=0,Config!$B$16,Config!$B$17),IF(G58&gt;E58,IF(E58&gt;0,Config!$B$18,0),"")))))</f>
        <v/>
      </c>
      <c r="L58">
        <f>IF(H58="Visitante venceu por WO",Config!$B$19,IF(H58="Mandante venceu por WO",0,IF(OR(E58="",G58=""),"",IF(G58&gt;E58,IF(E58=0,Config!$B$16,Config!$B$17),IF(E58&gt;G58,IF(G58&gt;0,Config!$B$18,0),"")))))</f>
        <v/>
      </c>
      <c r="M58">
        <f>IF(H58="Mandante venceu por WO",D58,IF(H58="Visitante venceu por WO",F58,IF(OR(E58="",G58=""),"",IF(E58&gt;G58,D58,F58))))</f>
        <v/>
      </c>
    </row>
    <row r="59">
      <c r="K59">
        <f>IF(H59="Mandante venceu por WO",Config!$B$19,IF(H59="Visitante venceu por WO",0,IF(OR(E59="",G59=""),"",IF(E59&gt;G59,IF(G59=0,Config!$B$16,Config!$B$17),IF(G59&gt;E59,IF(E59&gt;0,Config!$B$18,0),"")))))</f>
        <v/>
      </c>
      <c r="L59">
        <f>IF(H59="Visitante venceu por WO",Config!$B$19,IF(H59="Mandante venceu por WO",0,IF(OR(E59="",G59=""),"",IF(G59&gt;E59,IF(E59=0,Config!$B$16,Config!$B$17),IF(E59&gt;G59,IF(G59&gt;0,Config!$B$18,0),"")))))</f>
        <v/>
      </c>
      <c r="M59">
        <f>IF(H59="Mandante venceu por WO",D59,IF(H59="Visitante venceu por WO",F59,IF(OR(E59="",G59=""),"",IF(E59&gt;G59,D59,F59))))</f>
        <v/>
      </c>
    </row>
    <row r="60">
      <c r="K60">
        <f>IF(H60="Mandante venceu por WO",Config!$B$19,IF(H60="Visitante venceu por WO",0,IF(OR(E60="",G60=""),"",IF(E60&gt;G60,IF(G60=0,Config!$B$16,Config!$B$17),IF(G60&gt;E60,IF(E60&gt;0,Config!$B$18,0),"")))))</f>
        <v/>
      </c>
      <c r="L60">
        <f>IF(H60="Visitante venceu por WO",Config!$B$19,IF(H60="Mandante venceu por WO",0,IF(OR(E60="",G60=""),"",IF(G60&gt;E60,IF(E60=0,Config!$B$16,Config!$B$17),IF(E60&gt;G60,IF(G60&gt;0,Config!$B$18,0),"")))))</f>
        <v/>
      </c>
      <c r="M60">
        <f>IF(H60="Mandante venceu por WO",D60,IF(H60="Visitante venceu por WO",F60,IF(OR(E60="",G60=""),"",IF(E60&gt;G60,D60,F60))))</f>
        <v/>
      </c>
    </row>
    <row r="61">
      <c r="K61">
        <f>IF(H61="Mandante venceu por WO",Config!$B$19,IF(H61="Visitante venceu por WO",0,IF(OR(E61="",G61=""),"",IF(E61&gt;G61,IF(G61=0,Config!$B$16,Config!$B$17),IF(G61&gt;E61,IF(E61&gt;0,Config!$B$18,0),"")))))</f>
        <v/>
      </c>
      <c r="L61">
        <f>IF(H61="Visitante venceu por WO",Config!$B$19,IF(H61="Mandante venceu por WO",0,IF(OR(E61="",G61=""),"",IF(G61&gt;E61,IF(E61=0,Config!$B$16,Config!$B$17),IF(E61&gt;G61,IF(G61&gt;0,Config!$B$18,0),"")))))</f>
        <v/>
      </c>
      <c r="M61">
        <f>IF(H61="Mandante venceu por WO",D61,IF(H61="Visitante venceu por WO",F61,IF(OR(E61="",G61=""),"",IF(E61&gt;G61,D61,F61))))</f>
        <v/>
      </c>
    </row>
    <row r="62">
      <c r="K62">
        <f>IF(H62="Mandante venceu por WO",Config!$B$19,IF(H62="Visitante venceu por WO",0,IF(OR(E62="",G62=""),"",IF(E62&gt;G62,IF(G62=0,Config!$B$16,Config!$B$17),IF(G62&gt;E62,IF(E62&gt;0,Config!$B$18,0),"")))))</f>
        <v/>
      </c>
      <c r="L62">
        <f>IF(H62="Visitante venceu por WO",Config!$B$19,IF(H62="Mandante venceu por WO",0,IF(OR(E62="",G62=""),"",IF(G62&gt;E62,IF(E62=0,Config!$B$16,Config!$B$17),IF(E62&gt;G62,IF(G62&gt;0,Config!$B$18,0),"")))))</f>
        <v/>
      </c>
      <c r="M62">
        <f>IF(H62="Mandante venceu por WO",D62,IF(H62="Visitante venceu por WO",F62,IF(OR(E62="",G62=""),"",IF(E62&gt;G62,D62,F62))))</f>
        <v/>
      </c>
    </row>
    <row r="63">
      <c r="K63">
        <f>IF(H63="Mandante venceu por WO",Config!$B$19,IF(H63="Visitante venceu por WO",0,IF(OR(E63="",G63=""),"",IF(E63&gt;G63,IF(G63=0,Config!$B$16,Config!$B$17),IF(G63&gt;E63,IF(E63&gt;0,Config!$B$18,0),"")))))</f>
        <v/>
      </c>
      <c r="L63">
        <f>IF(H63="Visitante venceu por WO",Config!$B$19,IF(H63="Mandante venceu por WO",0,IF(OR(E63="",G63=""),"",IF(G63&gt;E63,IF(E63=0,Config!$B$16,Config!$B$17),IF(E63&gt;G63,IF(G63&gt;0,Config!$B$18,0),"")))))</f>
        <v/>
      </c>
      <c r="M63">
        <f>IF(H63="Mandante venceu por WO",D63,IF(H63="Visitante venceu por WO",F63,IF(OR(E63="",G63=""),"",IF(E63&gt;G63,D63,F63))))</f>
        <v/>
      </c>
    </row>
    <row r="64">
      <c r="K64">
        <f>IF(H64="Mandante venceu por WO",Config!$B$19,IF(H64="Visitante venceu por WO",0,IF(OR(E64="",G64=""),"",IF(E64&gt;G64,IF(G64=0,Config!$B$16,Config!$B$17),IF(G64&gt;E64,IF(E64&gt;0,Config!$B$18,0),"")))))</f>
        <v/>
      </c>
      <c r="L64">
        <f>IF(H64="Visitante venceu por WO",Config!$B$19,IF(H64="Mandante venceu por WO",0,IF(OR(E64="",G64=""),"",IF(G64&gt;E64,IF(E64=0,Config!$B$16,Config!$B$17),IF(E64&gt;G64,IF(G64&gt;0,Config!$B$18,0),"")))))</f>
        <v/>
      </c>
      <c r="M64">
        <f>IF(H64="Mandante venceu por WO",D64,IF(H64="Visitante venceu por WO",F64,IF(OR(E64="",G64=""),"",IF(E64&gt;G64,D64,F64))))</f>
        <v/>
      </c>
    </row>
    <row r="65">
      <c r="K65">
        <f>IF(H65="Mandante venceu por WO",Config!$B$19,IF(H65="Visitante venceu por WO",0,IF(OR(E65="",G65=""),"",IF(E65&gt;G65,IF(G65=0,Config!$B$16,Config!$B$17),IF(G65&gt;E65,IF(E65&gt;0,Config!$B$18,0),"")))))</f>
        <v/>
      </c>
      <c r="L65">
        <f>IF(H65="Visitante venceu por WO",Config!$B$19,IF(H65="Mandante venceu por WO",0,IF(OR(E65="",G65=""),"",IF(G65&gt;E65,IF(E65=0,Config!$B$16,Config!$B$17),IF(E65&gt;G65,IF(G65&gt;0,Config!$B$18,0),"")))))</f>
        <v/>
      </c>
      <c r="M65">
        <f>IF(H65="Mandante venceu por WO",D65,IF(H65="Visitante venceu por WO",F65,IF(OR(E65="",G65=""),"",IF(E65&gt;G65,D65,F65))))</f>
        <v/>
      </c>
    </row>
    <row r="66">
      <c r="K66">
        <f>IF(H66="Mandante venceu por WO",Config!$B$19,IF(H66="Visitante venceu por WO",0,IF(OR(E66="",G66=""),"",IF(E66&gt;G66,IF(G66=0,Config!$B$16,Config!$B$17),IF(G66&gt;E66,IF(E66&gt;0,Config!$B$18,0),"")))))</f>
        <v/>
      </c>
      <c r="L66">
        <f>IF(H66="Visitante venceu por WO",Config!$B$19,IF(H66="Mandante venceu por WO",0,IF(OR(E66="",G66=""),"",IF(G66&gt;E66,IF(E66=0,Config!$B$16,Config!$B$17),IF(E66&gt;G66,IF(G66&gt;0,Config!$B$18,0),"")))))</f>
        <v/>
      </c>
      <c r="M66">
        <f>IF(H66="Mandante venceu por WO",D66,IF(H66="Visitante venceu por WO",F66,IF(OR(E66="",G66=""),"",IF(E66&gt;G66,D66,F66))))</f>
        <v/>
      </c>
    </row>
    <row r="67">
      <c r="K67">
        <f>IF(H67="Mandante venceu por WO",Config!$B$19,IF(H67="Visitante venceu por WO",0,IF(OR(E67="",G67=""),"",IF(E67&gt;G67,IF(G67=0,Config!$B$16,Config!$B$17),IF(G67&gt;E67,IF(E67&gt;0,Config!$B$18,0),"")))))</f>
        <v/>
      </c>
      <c r="L67">
        <f>IF(H67="Visitante venceu por WO",Config!$B$19,IF(H67="Mandante venceu por WO",0,IF(OR(E67="",G67=""),"",IF(G67&gt;E67,IF(E67=0,Config!$B$16,Config!$B$17),IF(E67&gt;G67,IF(G67&gt;0,Config!$B$18,0),"")))))</f>
        <v/>
      </c>
      <c r="M67">
        <f>IF(H67="Mandante venceu por WO",D67,IF(H67="Visitante venceu por WO",F67,IF(OR(E67="",G67=""),"",IF(E67&gt;G67,D67,F67))))</f>
        <v/>
      </c>
    </row>
    <row r="68">
      <c r="K68">
        <f>IF(H68="Mandante venceu por WO",Config!$B$19,IF(H68="Visitante venceu por WO",0,IF(OR(E68="",G68=""),"",IF(E68&gt;G68,IF(G68=0,Config!$B$16,Config!$B$17),IF(G68&gt;E68,IF(E68&gt;0,Config!$B$18,0),"")))))</f>
        <v/>
      </c>
      <c r="L68">
        <f>IF(H68="Visitante venceu por WO",Config!$B$19,IF(H68="Mandante venceu por WO",0,IF(OR(E68="",G68=""),"",IF(G68&gt;E68,IF(E68=0,Config!$B$16,Config!$B$17),IF(E68&gt;G68,IF(G68&gt;0,Config!$B$18,0),"")))))</f>
        <v/>
      </c>
      <c r="M68">
        <f>IF(H68="Mandante venceu por WO",D68,IF(H68="Visitante venceu por WO",F68,IF(OR(E68="",G68=""),"",IF(E68&gt;G68,D68,F68))))</f>
        <v/>
      </c>
    </row>
    <row r="69">
      <c r="K69">
        <f>IF(H69="Mandante venceu por WO",Config!$B$19,IF(H69="Visitante venceu por WO",0,IF(OR(E69="",G69=""),"",IF(E69&gt;G69,IF(G69=0,Config!$B$16,Config!$B$17),IF(G69&gt;E69,IF(E69&gt;0,Config!$B$18,0),"")))))</f>
        <v/>
      </c>
      <c r="L69">
        <f>IF(H69="Visitante venceu por WO",Config!$B$19,IF(H69="Mandante venceu por WO",0,IF(OR(E69="",G69=""),"",IF(G69&gt;E69,IF(E69=0,Config!$B$16,Config!$B$17),IF(E69&gt;G69,IF(G69&gt;0,Config!$B$18,0),"")))))</f>
        <v/>
      </c>
      <c r="M69">
        <f>IF(H69="Mandante venceu por WO",D69,IF(H69="Visitante venceu por WO",F69,IF(OR(E69="",G69=""),"",IF(E69&gt;G69,D69,F69))))</f>
        <v/>
      </c>
    </row>
    <row r="70">
      <c r="K70">
        <f>IF(H70="Mandante venceu por WO",Config!$B$19,IF(H70="Visitante venceu por WO",0,IF(OR(E70="",G70=""),"",IF(E70&gt;G70,IF(G70=0,Config!$B$16,Config!$B$17),IF(G70&gt;E70,IF(E70&gt;0,Config!$B$18,0),"")))))</f>
        <v/>
      </c>
      <c r="L70">
        <f>IF(H70="Visitante venceu por WO",Config!$B$19,IF(H70="Mandante venceu por WO",0,IF(OR(E70="",G70=""),"",IF(G70&gt;E70,IF(E70=0,Config!$B$16,Config!$B$17),IF(E70&gt;G70,IF(G70&gt;0,Config!$B$18,0),"")))))</f>
        <v/>
      </c>
      <c r="M70">
        <f>IF(H70="Mandante venceu por WO",D70,IF(H70="Visitante venceu por WO",F70,IF(OR(E70="",G70=""),"",IF(E70&gt;G70,D70,F70))))</f>
        <v/>
      </c>
    </row>
    <row r="71">
      <c r="K71">
        <f>IF(H71="Mandante venceu por WO",Config!$B$19,IF(H71="Visitante venceu por WO",0,IF(OR(E71="",G71=""),"",IF(E71&gt;G71,IF(G71=0,Config!$B$16,Config!$B$17),IF(G71&gt;E71,IF(E71&gt;0,Config!$B$18,0),"")))))</f>
        <v/>
      </c>
      <c r="L71">
        <f>IF(H71="Visitante venceu por WO",Config!$B$19,IF(H71="Mandante venceu por WO",0,IF(OR(E71="",G71=""),"",IF(G71&gt;E71,IF(E71=0,Config!$B$16,Config!$B$17),IF(E71&gt;G71,IF(G71&gt;0,Config!$B$18,0),"")))))</f>
        <v/>
      </c>
      <c r="M71">
        <f>IF(H71="Mandante venceu por WO",D71,IF(H71="Visitante venceu por WO",F71,IF(OR(E71="",G71=""),"",IF(E71&gt;G71,D71,F71))))</f>
        <v/>
      </c>
    </row>
    <row r="72">
      <c r="K72">
        <f>IF(H72="Mandante venceu por WO",Config!$B$19,IF(H72="Visitante venceu por WO",0,IF(OR(E72="",G72=""),"",IF(E72&gt;G72,IF(G72=0,Config!$B$16,Config!$B$17),IF(G72&gt;E72,IF(E72&gt;0,Config!$B$18,0),"")))))</f>
        <v/>
      </c>
      <c r="L72">
        <f>IF(H72="Visitante venceu por WO",Config!$B$19,IF(H72="Mandante venceu por WO",0,IF(OR(E72="",G72=""),"",IF(G72&gt;E72,IF(E72=0,Config!$B$16,Config!$B$17),IF(E72&gt;G72,IF(G72&gt;0,Config!$B$18,0),"")))))</f>
        <v/>
      </c>
      <c r="M72">
        <f>IF(H72="Mandante venceu por WO",D72,IF(H72="Visitante venceu por WO",F72,IF(OR(E72="",G72=""),"",IF(E72&gt;G72,D72,F72))))</f>
        <v/>
      </c>
    </row>
    <row r="73">
      <c r="K73">
        <f>IF(H73="Mandante venceu por WO",Config!$B$19,IF(H73="Visitante venceu por WO",0,IF(OR(E73="",G73=""),"",IF(E73&gt;G73,IF(G73=0,Config!$B$16,Config!$B$17),IF(G73&gt;E73,IF(E73&gt;0,Config!$B$18,0),"")))))</f>
        <v/>
      </c>
      <c r="L73">
        <f>IF(H73="Visitante venceu por WO",Config!$B$19,IF(H73="Mandante venceu por WO",0,IF(OR(E73="",G73=""),"",IF(G73&gt;E73,IF(E73=0,Config!$B$16,Config!$B$17),IF(E73&gt;G73,IF(G73&gt;0,Config!$B$18,0),"")))))</f>
        <v/>
      </c>
      <c r="M73">
        <f>IF(H73="Mandante venceu por WO",D73,IF(H73="Visitante venceu por WO",F73,IF(OR(E73="",G73=""),"",IF(E73&gt;G73,D73,F73))))</f>
        <v/>
      </c>
    </row>
    <row r="74">
      <c r="K74">
        <f>IF(H74="Mandante venceu por WO",Config!$B$19,IF(H74="Visitante venceu por WO",0,IF(OR(E74="",G74=""),"",IF(E74&gt;G74,IF(G74=0,Config!$B$16,Config!$B$17),IF(G74&gt;E74,IF(E74&gt;0,Config!$B$18,0),"")))))</f>
        <v/>
      </c>
      <c r="L74">
        <f>IF(H74="Visitante venceu por WO",Config!$B$19,IF(H74="Mandante venceu por WO",0,IF(OR(E74="",G74=""),"",IF(G74&gt;E74,IF(E74=0,Config!$B$16,Config!$B$17),IF(E74&gt;G74,IF(G74&gt;0,Config!$B$18,0),"")))))</f>
        <v/>
      </c>
      <c r="M74">
        <f>IF(H74="Mandante venceu por WO",D74,IF(H74="Visitante venceu por WO",F74,IF(OR(E74="",G74=""),"",IF(E74&gt;G74,D74,F74))))</f>
        <v/>
      </c>
    </row>
    <row r="75">
      <c r="K75">
        <f>IF(H75="Mandante venceu por WO",Config!$B$19,IF(H75="Visitante venceu por WO",0,IF(OR(E75="",G75=""),"",IF(E75&gt;G75,IF(G75=0,Config!$B$16,Config!$B$17),IF(G75&gt;E75,IF(E75&gt;0,Config!$B$18,0),"")))))</f>
        <v/>
      </c>
      <c r="L75">
        <f>IF(H75="Visitante venceu por WO",Config!$B$19,IF(H75="Mandante venceu por WO",0,IF(OR(E75="",G75=""),"",IF(G75&gt;E75,IF(E75=0,Config!$B$16,Config!$B$17),IF(E75&gt;G75,IF(G75&gt;0,Config!$B$18,0),"")))))</f>
        <v/>
      </c>
      <c r="M75">
        <f>IF(H75="Mandante venceu por WO",D75,IF(H75="Visitante venceu por WO",F75,IF(OR(E75="",G75=""),"",IF(E75&gt;G75,D75,F75))))</f>
        <v/>
      </c>
    </row>
    <row r="76">
      <c r="K76">
        <f>IF(H76="Mandante venceu por WO",Config!$B$19,IF(H76="Visitante venceu por WO",0,IF(OR(E76="",G76=""),"",IF(E76&gt;G76,IF(G76=0,Config!$B$16,Config!$B$17),IF(G76&gt;E76,IF(E76&gt;0,Config!$B$18,0),"")))))</f>
        <v/>
      </c>
      <c r="L76">
        <f>IF(H76="Visitante venceu por WO",Config!$B$19,IF(H76="Mandante venceu por WO",0,IF(OR(E76="",G76=""),"",IF(G76&gt;E76,IF(E76=0,Config!$B$16,Config!$B$17),IF(E76&gt;G76,IF(G76&gt;0,Config!$B$18,0),"")))))</f>
        <v/>
      </c>
      <c r="M76">
        <f>IF(H76="Mandante venceu por WO",D76,IF(H76="Visitante venceu por WO",F76,IF(OR(E76="",G76=""),"",IF(E76&gt;G76,D76,F76))))</f>
        <v/>
      </c>
    </row>
    <row r="77">
      <c r="K77">
        <f>IF(H77="Mandante venceu por WO",Config!$B$19,IF(H77="Visitante venceu por WO",0,IF(OR(E77="",G77=""),"",IF(E77&gt;G77,IF(G77=0,Config!$B$16,Config!$B$17),IF(G77&gt;E77,IF(E77&gt;0,Config!$B$18,0),"")))))</f>
        <v/>
      </c>
      <c r="L77">
        <f>IF(H77="Visitante venceu por WO",Config!$B$19,IF(H77="Mandante venceu por WO",0,IF(OR(E77="",G77=""),"",IF(G77&gt;E77,IF(E77=0,Config!$B$16,Config!$B$17),IF(E77&gt;G77,IF(G77&gt;0,Config!$B$18,0),"")))))</f>
        <v/>
      </c>
      <c r="M77">
        <f>IF(H77="Mandante venceu por WO",D77,IF(H77="Visitante venceu por WO",F77,IF(OR(E77="",G77=""),"",IF(E77&gt;G77,D77,F77))))</f>
        <v/>
      </c>
    </row>
    <row r="78">
      <c r="K78">
        <f>IF(H78="Mandante venceu por WO",Config!$B$19,IF(H78="Visitante venceu por WO",0,IF(OR(E78="",G78=""),"",IF(E78&gt;G78,IF(G78=0,Config!$B$16,Config!$B$17),IF(G78&gt;E78,IF(E78&gt;0,Config!$B$18,0),"")))))</f>
        <v/>
      </c>
      <c r="L78">
        <f>IF(H78="Visitante venceu por WO",Config!$B$19,IF(H78="Mandante venceu por WO",0,IF(OR(E78="",G78=""),"",IF(G78&gt;E78,IF(E78=0,Config!$B$16,Config!$B$17),IF(E78&gt;G78,IF(G78&gt;0,Config!$B$18,0),"")))))</f>
        <v/>
      </c>
      <c r="M78">
        <f>IF(H78="Mandante venceu por WO",D78,IF(H78="Visitante venceu por WO",F78,IF(OR(E78="",G78=""),"",IF(E78&gt;G78,D78,F78))))</f>
        <v/>
      </c>
    </row>
    <row r="79">
      <c r="K79">
        <f>IF(H79="Mandante venceu por WO",Config!$B$19,IF(H79="Visitante venceu por WO",0,IF(OR(E79="",G79=""),"",IF(E79&gt;G79,IF(G79=0,Config!$B$16,Config!$B$17),IF(G79&gt;E79,IF(E79&gt;0,Config!$B$18,0),"")))))</f>
        <v/>
      </c>
      <c r="L79">
        <f>IF(H79="Visitante venceu por WO",Config!$B$19,IF(H79="Mandante venceu por WO",0,IF(OR(E79="",G79=""),"",IF(G79&gt;E79,IF(E79=0,Config!$B$16,Config!$B$17),IF(E79&gt;G79,IF(G79&gt;0,Config!$B$18,0),"")))))</f>
        <v/>
      </c>
      <c r="M79">
        <f>IF(H79="Mandante venceu por WO",D79,IF(H79="Visitante venceu por WO",F79,IF(OR(E79="",G79=""),"",IF(E79&gt;G79,D79,F79))))</f>
        <v/>
      </c>
    </row>
    <row r="80">
      <c r="K80">
        <f>IF(H80="Mandante venceu por WO",Config!$B$19,IF(H80="Visitante venceu por WO",0,IF(OR(E80="",G80=""),"",IF(E80&gt;G80,IF(G80=0,Config!$B$16,Config!$B$17),IF(G80&gt;E80,IF(E80&gt;0,Config!$B$18,0),"")))))</f>
        <v/>
      </c>
      <c r="L80">
        <f>IF(H80="Visitante venceu por WO",Config!$B$19,IF(H80="Mandante venceu por WO",0,IF(OR(E80="",G80=""),"",IF(G80&gt;E80,IF(E80=0,Config!$B$16,Config!$B$17),IF(E80&gt;G80,IF(G80&gt;0,Config!$B$18,0),"")))))</f>
        <v/>
      </c>
      <c r="M80">
        <f>IF(H80="Mandante venceu por WO",D80,IF(H80="Visitante venceu por WO",F80,IF(OR(E80="",G80=""),"",IF(E80&gt;G80,D80,F80))))</f>
        <v/>
      </c>
    </row>
    <row r="81">
      <c r="K81">
        <f>IF(H81="Mandante venceu por WO",Config!$B$19,IF(H81="Visitante venceu por WO",0,IF(OR(E81="",G81=""),"",IF(E81&gt;G81,IF(G81=0,Config!$B$16,Config!$B$17),IF(G81&gt;E81,IF(E81&gt;0,Config!$B$18,0),"")))))</f>
        <v/>
      </c>
      <c r="L81">
        <f>IF(H81="Visitante venceu por WO",Config!$B$19,IF(H81="Mandante venceu por WO",0,IF(OR(E81="",G81=""),"",IF(G81&gt;E81,IF(E81=0,Config!$B$16,Config!$B$17),IF(E81&gt;G81,IF(G81&gt;0,Config!$B$18,0),"")))))</f>
        <v/>
      </c>
      <c r="M81">
        <f>IF(H81="Mandante venceu por WO",D81,IF(H81="Visitante venceu por WO",F81,IF(OR(E81="",G81=""),"",IF(E81&gt;G81,D81,F81))))</f>
        <v/>
      </c>
    </row>
    <row r="82">
      <c r="K82">
        <f>IF(H82="Mandante venceu por WO",Config!$B$19,IF(H82="Visitante venceu por WO",0,IF(OR(E82="",G82=""),"",IF(E82&gt;G82,IF(G82=0,Config!$B$16,Config!$B$17),IF(G82&gt;E82,IF(E82&gt;0,Config!$B$18,0),"")))))</f>
        <v/>
      </c>
      <c r="L82">
        <f>IF(H82="Visitante venceu por WO",Config!$B$19,IF(H82="Mandante venceu por WO",0,IF(OR(E82="",G82=""),"",IF(G82&gt;E82,IF(E82=0,Config!$B$16,Config!$B$17),IF(E82&gt;G82,IF(G82&gt;0,Config!$B$18,0),"")))))</f>
        <v/>
      </c>
      <c r="M82">
        <f>IF(H82="Mandante venceu por WO",D82,IF(H82="Visitante venceu por WO",F82,IF(OR(E82="",G82=""),"",IF(E82&gt;G82,D82,F82))))</f>
        <v/>
      </c>
    </row>
    <row r="83">
      <c r="K83">
        <f>IF(H83="Mandante venceu por WO",Config!$B$19,IF(H83="Visitante venceu por WO",0,IF(OR(E83="",G83=""),"",IF(E83&gt;G83,IF(G83=0,Config!$B$16,Config!$B$17),IF(G83&gt;E83,IF(E83&gt;0,Config!$B$18,0),"")))))</f>
        <v/>
      </c>
      <c r="L83">
        <f>IF(H83="Visitante venceu por WO",Config!$B$19,IF(H83="Mandante venceu por WO",0,IF(OR(E83="",G83=""),"",IF(G83&gt;E83,IF(E83=0,Config!$B$16,Config!$B$17),IF(E83&gt;G83,IF(G83&gt;0,Config!$B$18,0),"")))))</f>
        <v/>
      </c>
      <c r="M83">
        <f>IF(H83="Mandante venceu por WO",D83,IF(H83="Visitante venceu por WO",F83,IF(OR(E83="",G83=""),"",IF(E83&gt;G83,D83,F83))))</f>
        <v/>
      </c>
    </row>
    <row r="84">
      <c r="K84">
        <f>IF(H84="Mandante venceu por WO",Config!$B$19,IF(H84="Visitante venceu por WO",0,IF(OR(E84="",G84=""),"",IF(E84&gt;G84,IF(G84=0,Config!$B$16,Config!$B$17),IF(G84&gt;E84,IF(E84&gt;0,Config!$B$18,0),"")))))</f>
        <v/>
      </c>
      <c r="L84">
        <f>IF(H84="Visitante venceu por WO",Config!$B$19,IF(H84="Mandante venceu por WO",0,IF(OR(E84="",G84=""),"",IF(G84&gt;E84,IF(E84=0,Config!$B$16,Config!$B$17),IF(E84&gt;G84,IF(G84&gt;0,Config!$B$18,0),"")))))</f>
        <v/>
      </c>
      <c r="M84">
        <f>IF(H84="Mandante venceu por WO",D84,IF(H84="Visitante venceu por WO",F84,IF(OR(E84="",G84=""),"",IF(E84&gt;G84,D84,F84))))</f>
        <v/>
      </c>
    </row>
    <row r="85">
      <c r="K85">
        <f>IF(H85="Mandante venceu por WO",Config!$B$19,IF(H85="Visitante venceu por WO",0,IF(OR(E85="",G85=""),"",IF(E85&gt;G85,IF(G85=0,Config!$B$16,Config!$B$17),IF(G85&gt;E85,IF(E85&gt;0,Config!$B$18,0),"")))))</f>
        <v/>
      </c>
      <c r="L85">
        <f>IF(H85="Visitante venceu por WO",Config!$B$19,IF(H85="Mandante venceu por WO",0,IF(OR(E85="",G85=""),"",IF(G85&gt;E85,IF(E85=0,Config!$B$16,Config!$B$17),IF(E85&gt;G85,IF(G85&gt;0,Config!$B$18,0),"")))))</f>
        <v/>
      </c>
      <c r="M85">
        <f>IF(H85="Mandante venceu por WO",D85,IF(H85="Visitante venceu por WO",F85,IF(OR(E85="",G85=""),"",IF(E85&gt;G85,D85,F85))))</f>
        <v/>
      </c>
    </row>
    <row r="86">
      <c r="K86">
        <f>IF(H86="Mandante venceu por WO",Config!$B$19,IF(H86="Visitante venceu por WO",0,IF(OR(E86="",G86=""),"",IF(E86&gt;G86,IF(G86=0,Config!$B$16,Config!$B$17),IF(G86&gt;E86,IF(E86&gt;0,Config!$B$18,0),"")))))</f>
        <v/>
      </c>
      <c r="L86">
        <f>IF(H86="Visitante venceu por WO",Config!$B$19,IF(H86="Mandante venceu por WO",0,IF(OR(E86="",G86=""),"",IF(G86&gt;E86,IF(E86=0,Config!$B$16,Config!$B$17),IF(E86&gt;G86,IF(G86&gt;0,Config!$B$18,0),"")))))</f>
        <v/>
      </c>
      <c r="M86">
        <f>IF(H86="Mandante venceu por WO",D86,IF(H86="Visitante venceu por WO",F86,IF(OR(E86="",G86=""),"",IF(E86&gt;G86,D86,F86))))</f>
        <v/>
      </c>
    </row>
    <row r="87">
      <c r="K87">
        <f>IF(H87="Mandante venceu por WO",Config!$B$19,IF(H87="Visitante venceu por WO",0,IF(OR(E87="",G87=""),"",IF(E87&gt;G87,IF(G87=0,Config!$B$16,Config!$B$17),IF(G87&gt;E87,IF(E87&gt;0,Config!$B$18,0),"")))))</f>
        <v/>
      </c>
      <c r="L87">
        <f>IF(H87="Visitante venceu por WO",Config!$B$19,IF(H87="Mandante venceu por WO",0,IF(OR(E87="",G87=""),"",IF(G87&gt;E87,IF(E87=0,Config!$B$16,Config!$B$17),IF(E87&gt;G87,IF(G87&gt;0,Config!$B$18,0),"")))))</f>
        <v/>
      </c>
      <c r="M87">
        <f>IF(H87="Mandante venceu por WO",D87,IF(H87="Visitante venceu por WO",F87,IF(OR(E87="",G87=""),"",IF(E87&gt;G87,D87,F87))))</f>
        <v/>
      </c>
    </row>
    <row r="88">
      <c r="K88">
        <f>IF(H88="Mandante venceu por WO",Config!$B$19,IF(H88="Visitante venceu por WO",0,IF(OR(E88="",G88=""),"",IF(E88&gt;G88,IF(G88=0,Config!$B$16,Config!$B$17),IF(G88&gt;E88,IF(E88&gt;0,Config!$B$18,0),"")))))</f>
        <v/>
      </c>
      <c r="L88">
        <f>IF(H88="Visitante venceu por WO",Config!$B$19,IF(H88="Mandante venceu por WO",0,IF(OR(E88="",G88=""),"",IF(G88&gt;E88,IF(E88=0,Config!$B$16,Config!$B$17),IF(E88&gt;G88,IF(G88&gt;0,Config!$B$18,0),"")))))</f>
        <v/>
      </c>
      <c r="M88">
        <f>IF(H88="Mandante venceu por WO",D88,IF(H88="Visitante venceu por WO",F88,IF(OR(E88="",G88=""),"",IF(E88&gt;G88,D88,F88))))</f>
        <v/>
      </c>
    </row>
    <row r="89">
      <c r="K89">
        <f>IF(H89="Mandante venceu por WO",Config!$B$19,IF(H89="Visitante venceu por WO",0,IF(OR(E89="",G89=""),"",IF(E89&gt;G89,IF(G89=0,Config!$B$16,Config!$B$17),IF(G89&gt;E89,IF(E89&gt;0,Config!$B$18,0),"")))))</f>
        <v/>
      </c>
      <c r="L89">
        <f>IF(H89="Visitante venceu por WO",Config!$B$19,IF(H89="Mandante venceu por WO",0,IF(OR(E89="",G89=""),"",IF(G89&gt;E89,IF(E89=0,Config!$B$16,Config!$B$17),IF(E89&gt;G89,IF(G89&gt;0,Config!$B$18,0),"")))))</f>
        <v/>
      </c>
      <c r="M89">
        <f>IF(H89="Mandante venceu por WO",D89,IF(H89="Visitante venceu por WO",F89,IF(OR(E89="",G89=""),"",IF(E89&gt;G89,D89,F89))))</f>
        <v/>
      </c>
    </row>
    <row r="90">
      <c r="K90">
        <f>IF(H90="Mandante venceu por WO",Config!$B$19,IF(H90="Visitante venceu por WO",0,IF(OR(E90="",G90=""),"",IF(E90&gt;G90,IF(G90=0,Config!$B$16,Config!$B$17),IF(G90&gt;E90,IF(E90&gt;0,Config!$B$18,0),"")))))</f>
        <v/>
      </c>
      <c r="L90">
        <f>IF(H90="Visitante venceu por WO",Config!$B$19,IF(H90="Mandante venceu por WO",0,IF(OR(E90="",G90=""),"",IF(G90&gt;E90,IF(E90=0,Config!$B$16,Config!$B$17),IF(E90&gt;G90,IF(G90&gt;0,Config!$B$18,0),"")))))</f>
        <v/>
      </c>
      <c r="M90">
        <f>IF(H90="Mandante venceu por WO",D90,IF(H90="Visitante venceu por WO",F90,IF(OR(E90="",G90=""),"",IF(E90&gt;G90,D90,F90))))</f>
        <v/>
      </c>
    </row>
    <row r="91">
      <c r="K91">
        <f>IF(H91="Mandante venceu por WO",Config!$B$19,IF(H91="Visitante venceu por WO",0,IF(OR(E91="",G91=""),"",IF(E91&gt;G91,IF(G91=0,Config!$B$16,Config!$B$17),IF(G91&gt;E91,IF(E91&gt;0,Config!$B$18,0),"")))))</f>
        <v/>
      </c>
      <c r="L91">
        <f>IF(H91="Visitante venceu por WO",Config!$B$19,IF(H91="Mandante venceu por WO",0,IF(OR(E91="",G91=""),"",IF(G91&gt;E91,IF(E91=0,Config!$B$16,Config!$B$17),IF(E91&gt;G91,IF(G91&gt;0,Config!$B$18,0),"")))))</f>
        <v/>
      </c>
      <c r="M91">
        <f>IF(H91="Mandante venceu por WO",D91,IF(H91="Visitante venceu por WO",F91,IF(OR(E91="",G91=""),"",IF(E91&gt;G91,D91,F91))))</f>
        <v/>
      </c>
    </row>
    <row r="92">
      <c r="K92">
        <f>IF(H92="Mandante venceu por WO",Config!$B$19,IF(H92="Visitante venceu por WO",0,IF(OR(E92="",G92=""),"",IF(E92&gt;G92,IF(G92=0,Config!$B$16,Config!$B$17),IF(G92&gt;E92,IF(E92&gt;0,Config!$B$18,0),"")))))</f>
        <v/>
      </c>
      <c r="L92">
        <f>IF(H92="Visitante venceu por WO",Config!$B$19,IF(H92="Mandante venceu por WO",0,IF(OR(E92="",G92=""),"",IF(G92&gt;E92,IF(E92=0,Config!$B$16,Config!$B$17),IF(E92&gt;G92,IF(G92&gt;0,Config!$B$18,0),"")))))</f>
        <v/>
      </c>
      <c r="M92">
        <f>IF(H92="Mandante venceu por WO",D92,IF(H92="Visitante venceu por WO",F92,IF(OR(E92="",G92=""),"",IF(E92&gt;G92,D92,F92))))</f>
        <v/>
      </c>
    </row>
    <row r="93">
      <c r="K93">
        <f>IF(H93="Mandante venceu por WO",Config!$B$19,IF(H93="Visitante venceu por WO",0,IF(OR(E93="",G93=""),"",IF(E93&gt;G93,IF(G93=0,Config!$B$16,Config!$B$17),IF(G93&gt;E93,IF(E93&gt;0,Config!$B$18,0),"")))))</f>
        <v/>
      </c>
      <c r="L93">
        <f>IF(H93="Visitante venceu por WO",Config!$B$19,IF(H93="Mandante venceu por WO",0,IF(OR(E93="",G93=""),"",IF(G93&gt;E93,IF(E93=0,Config!$B$16,Config!$B$17),IF(E93&gt;G93,IF(G93&gt;0,Config!$B$18,0),"")))))</f>
        <v/>
      </c>
      <c r="M93">
        <f>IF(H93="Mandante venceu por WO",D93,IF(H93="Visitante venceu por WO",F93,IF(OR(E93="",G93=""),"",IF(E93&gt;G93,D93,F93))))</f>
        <v/>
      </c>
    </row>
    <row r="94">
      <c r="K94">
        <f>IF(H94="Mandante venceu por WO",Config!$B$19,IF(H94="Visitante venceu por WO",0,IF(OR(E94="",G94=""),"",IF(E94&gt;G94,IF(G94=0,Config!$B$16,Config!$B$17),IF(G94&gt;E94,IF(E94&gt;0,Config!$B$18,0),"")))))</f>
        <v/>
      </c>
      <c r="L94">
        <f>IF(H94="Visitante venceu por WO",Config!$B$19,IF(H94="Mandante venceu por WO",0,IF(OR(E94="",G94=""),"",IF(G94&gt;E94,IF(E94=0,Config!$B$16,Config!$B$17),IF(E94&gt;G94,IF(G94&gt;0,Config!$B$18,0),"")))))</f>
        <v/>
      </c>
      <c r="M94">
        <f>IF(H94="Mandante venceu por WO",D94,IF(H94="Visitante venceu por WO",F94,IF(OR(E94="",G94=""),"",IF(E94&gt;G94,D94,F94))))</f>
        <v/>
      </c>
    </row>
    <row r="95">
      <c r="K95">
        <f>IF(H95="Mandante venceu por WO",Config!$B$19,IF(H95="Visitante venceu por WO",0,IF(OR(E95="",G95=""),"",IF(E95&gt;G95,IF(G95=0,Config!$B$16,Config!$B$17),IF(G95&gt;E95,IF(E95&gt;0,Config!$B$18,0),"")))))</f>
        <v/>
      </c>
      <c r="L95">
        <f>IF(H95="Visitante venceu por WO",Config!$B$19,IF(H95="Mandante venceu por WO",0,IF(OR(E95="",G95=""),"",IF(G95&gt;E95,IF(E95=0,Config!$B$16,Config!$B$17),IF(E95&gt;G95,IF(G95&gt;0,Config!$B$18,0),"")))))</f>
        <v/>
      </c>
      <c r="M95">
        <f>IF(H95="Mandante venceu por WO",D95,IF(H95="Visitante venceu por WO",F95,IF(OR(E95="",G95=""),"",IF(E95&gt;G95,D95,F95))))</f>
        <v/>
      </c>
    </row>
    <row r="96">
      <c r="K96">
        <f>IF(H96="Mandante venceu por WO",Config!$B$19,IF(H96="Visitante venceu por WO",0,IF(OR(E96="",G96=""),"",IF(E96&gt;G96,IF(G96=0,Config!$B$16,Config!$B$17),IF(G96&gt;E96,IF(E96&gt;0,Config!$B$18,0),"")))))</f>
        <v/>
      </c>
      <c r="L96">
        <f>IF(H96="Visitante venceu por WO",Config!$B$19,IF(H96="Mandante venceu por WO",0,IF(OR(E96="",G96=""),"",IF(G96&gt;E96,IF(E96=0,Config!$B$16,Config!$B$17),IF(E96&gt;G96,IF(G96&gt;0,Config!$B$18,0),"")))))</f>
        <v/>
      </c>
      <c r="M96">
        <f>IF(H96="Mandante venceu por WO",D96,IF(H96="Visitante venceu por WO",F96,IF(OR(E96="",G96=""),"",IF(E96&gt;G96,D96,F96))))</f>
        <v/>
      </c>
    </row>
    <row r="97">
      <c r="K97">
        <f>IF(H97="Mandante venceu por WO",Config!$B$19,IF(H97="Visitante venceu por WO",0,IF(OR(E97="",G97=""),"",IF(E97&gt;G97,IF(G97=0,Config!$B$16,Config!$B$17),IF(G97&gt;E97,IF(E97&gt;0,Config!$B$18,0),"")))))</f>
        <v/>
      </c>
      <c r="L97">
        <f>IF(H97="Visitante venceu por WO",Config!$B$19,IF(H97="Mandante venceu por WO",0,IF(OR(E97="",G97=""),"",IF(G97&gt;E97,IF(E97=0,Config!$B$16,Config!$B$17),IF(E97&gt;G97,IF(G97&gt;0,Config!$B$18,0),"")))))</f>
        <v/>
      </c>
      <c r="M97">
        <f>IF(H97="Mandante venceu por WO",D97,IF(H97="Visitante venceu por WO",F97,IF(OR(E97="",G97=""),"",IF(E97&gt;G97,D97,F97))))</f>
        <v/>
      </c>
    </row>
    <row r="98">
      <c r="K98">
        <f>IF(H98="Mandante venceu por WO",Config!$B$19,IF(H98="Visitante venceu por WO",0,IF(OR(E98="",G98=""),"",IF(E98&gt;G98,IF(G98=0,Config!$B$16,Config!$B$17),IF(G98&gt;E98,IF(E98&gt;0,Config!$B$18,0),"")))))</f>
        <v/>
      </c>
      <c r="L98">
        <f>IF(H98="Visitante venceu por WO",Config!$B$19,IF(H98="Mandante venceu por WO",0,IF(OR(E98="",G98=""),"",IF(G98&gt;E98,IF(E98=0,Config!$B$16,Config!$B$17),IF(E98&gt;G98,IF(G98&gt;0,Config!$B$18,0),"")))))</f>
        <v/>
      </c>
      <c r="M98">
        <f>IF(H98="Mandante venceu por WO",D98,IF(H98="Visitante venceu por WO",F98,IF(OR(E98="",G98=""),"",IF(E98&gt;G98,D98,F98))))</f>
        <v/>
      </c>
    </row>
    <row r="99">
      <c r="K99">
        <f>IF(H99="Mandante venceu por WO",Config!$B$19,IF(H99="Visitante venceu por WO",0,IF(OR(E99="",G99=""),"",IF(E99&gt;G99,IF(G99=0,Config!$B$16,Config!$B$17),IF(G99&gt;E99,IF(E99&gt;0,Config!$B$18,0),"")))))</f>
        <v/>
      </c>
      <c r="L99">
        <f>IF(H99="Visitante venceu por WO",Config!$B$19,IF(H99="Mandante venceu por WO",0,IF(OR(E99="",G99=""),"",IF(G99&gt;E99,IF(E99=0,Config!$B$16,Config!$B$17),IF(E99&gt;G99,IF(G99&gt;0,Config!$B$18,0),"")))))</f>
        <v/>
      </c>
      <c r="M99">
        <f>IF(H99="Mandante venceu por WO",D99,IF(H99="Visitante venceu por WO",F99,IF(OR(E99="",G99=""),"",IF(E99&gt;G99,D99,F99))))</f>
        <v/>
      </c>
    </row>
    <row r="100">
      <c r="K100">
        <f>IF(H100="Mandante venceu por WO",Config!$B$19,IF(H100="Visitante venceu por WO",0,IF(OR(E100="",G100=""),"",IF(E100&gt;G100,IF(G100=0,Config!$B$16,Config!$B$17),IF(G100&gt;E100,IF(E100&gt;0,Config!$B$18,0),"")))))</f>
        <v/>
      </c>
      <c r="L100">
        <f>IF(H100="Visitante venceu por WO",Config!$B$19,IF(H100="Mandante venceu por WO",0,IF(OR(E100="",G100=""),"",IF(G100&gt;E100,IF(E100=0,Config!$B$16,Config!$B$17),IF(E100&gt;G100,IF(G100&gt;0,Config!$B$18,0),"")))))</f>
        <v/>
      </c>
      <c r="M100">
        <f>IF(H100="Mandante venceu por WO",D100,IF(H100="Visitante venceu por WO",F100,IF(OR(E100="",G100=""),"",IF(E100&gt;G100,D100,F100))))</f>
        <v/>
      </c>
    </row>
    <row r="101">
      <c r="K101">
        <f>IF(H101="Mandante venceu por WO",Config!$B$19,IF(H101="Visitante venceu por WO",0,IF(OR(E101="",G101=""),"",IF(E101&gt;G101,IF(G101=0,Config!$B$16,Config!$B$17),IF(G101&gt;E101,IF(E101&gt;0,Config!$B$18,0),"")))))</f>
        <v/>
      </c>
      <c r="L101">
        <f>IF(H101="Visitante venceu por WO",Config!$B$19,IF(H101="Mandante venceu por WO",0,IF(OR(E101="",G101=""),"",IF(G101&gt;E101,IF(E101=0,Config!$B$16,Config!$B$17),IF(E101&gt;G101,IF(G101&gt;0,Config!$B$18,0),"")))))</f>
        <v/>
      </c>
      <c r="M101">
        <f>IF(H101="Mandante venceu por WO",D101,IF(H101="Visitante venceu por WO",F101,IF(OR(E101="",G101=""),"",IF(E101&gt;G101,D101,F101))))</f>
        <v/>
      </c>
    </row>
    <row r="102">
      <c r="K102">
        <f>IF(H102="Mandante venceu por WO",Config!$B$19,IF(H102="Visitante venceu por WO",0,IF(OR(E102="",G102=""),"",IF(E102&gt;G102,IF(G102=0,Config!$B$16,Config!$B$17),IF(G102&gt;E102,IF(E102&gt;0,Config!$B$18,0),"")))))</f>
        <v/>
      </c>
      <c r="L102">
        <f>IF(H102="Visitante venceu por WO",Config!$B$19,IF(H102="Mandante venceu por WO",0,IF(OR(E102="",G102=""),"",IF(G102&gt;E102,IF(E102=0,Config!$B$16,Config!$B$17),IF(E102&gt;G102,IF(G102&gt;0,Config!$B$18,0),"")))))</f>
        <v/>
      </c>
      <c r="M102">
        <f>IF(H102="Mandante venceu por WO",D102,IF(H102="Visitante venceu por WO",F102,IF(OR(E102="",G102=""),"",IF(E102&gt;G102,D102,F102))))</f>
        <v/>
      </c>
    </row>
    <row r="103">
      <c r="K103">
        <f>IF(H103="Mandante venceu por WO",Config!$B$19,IF(H103="Visitante venceu por WO",0,IF(OR(E103="",G103=""),"",IF(E103&gt;G103,IF(G103=0,Config!$B$16,Config!$B$17),IF(G103&gt;E103,IF(E103&gt;0,Config!$B$18,0),"")))))</f>
        <v/>
      </c>
      <c r="L103">
        <f>IF(H103="Visitante venceu por WO",Config!$B$19,IF(H103="Mandante venceu por WO",0,IF(OR(E103="",G103=""),"",IF(G103&gt;E103,IF(E103=0,Config!$B$16,Config!$B$17),IF(E103&gt;G103,IF(G103&gt;0,Config!$B$18,0),"")))))</f>
        <v/>
      </c>
      <c r="M103">
        <f>IF(H103="Mandante venceu por WO",D103,IF(H103="Visitante venceu por WO",F103,IF(OR(E103="",G103=""),"",IF(E103&gt;G103,D103,F103))))</f>
        <v/>
      </c>
    </row>
    <row r="104">
      <c r="K104">
        <f>IF(H104="Mandante venceu por WO",Config!$B$19,IF(H104="Visitante venceu por WO",0,IF(OR(E104="",G104=""),"",IF(E104&gt;G104,IF(G104=0,Config!$B$16,Config!$B$17),IF(G104&gt;E104,IF(E104&gt;0,Config!$B$18,0),"")))))</f>
        <v/>
      </c>
      <c r="L104">
        <f>IF(H104="Visitante venceu por WO",Config!$B$19,IF(H104="Mandante venceu por WO",0,IF(OR(E104="",G104=""),"",IF(G104&gt;E104,IF(E104=0,Config!$B$16,Config!$B$17),IF(E104&gt;G104,IF(G104&gt;0,Config!$B$18,0),"")))))</f>
        <v/>
      </c>
      <c r="M104">
        <f>IF(H104="Mandante venceu por WO",D104,IF(H104="Visitante venceu por WO",F104,IF(OR(E104="",G104=""),"",IF(E104&gt;G104,D104,F104))))</f>
        <v/>
      </c>
    </row>
    <row r="105">
      <c r="K105">
        <f>IF(H105="Mandante venceu por WO",Config!$B$19,IF(H105="Visitante venceu por WO",0,IF(OR(E105="",G105=""),"",IF(E105&gt;G105,IF(G105=0,Config!$B$16,Config!$B$17),IF(G105&gt;E105,IF(E105&gt;0,Config!$B$18,0),"")))))</f>
        <v/>
      </c>
      <c r="L105">
        <f>IF(H105="Visitante venceu por WO",Config!$B$19,IF(H105="Mandante venceu por WO",0,IF(OR(E105="",G105=""),"",IF(G105&gt;E105,IF(E105=0,Config!$B$16,Config!$B$17),IF(E105&gt;G105,IF(G105&gt;0,Config!$B$18,0),"")))))</f>
        <v/>
      </c>
      <c r="M105">
        <f>IF(H105="Mandante venceu por WO",D105,IF(H105="Visitante venceu por WO",F105,IF(OR(E105="",G105=""),"",IF(E105&gt;G105,D105,F105))))</f>
        <v/>
      </c>
    </row>
    <row r="106">
      <c r="K106">
        <f>IF(H106="Mandante venceu por WO",Config!$B$19,IF(H106="Visitante venceu por WO",0,IF(OR(E106="",G106=""),"",IF(E106&gt;G106,IF(G106=0,Config!$B$16,Config!$B$17),IF(G106&gt;E106,IF(E106&gt;0,Config!$B$18,0),"")))))</f>
        <v/>
      </c>
      <c r="L106">
        <f>IF(H106="Visitante venceu por WO",Config!$B$19,IF(H106="Mandante venceu por WO",0,IF(OR(E106="",G106=""),"",IF(G106&gt;E106,IF(E106=0,Config!$B$16,Config!$B$17),IF(E106&gt;G106,IF(G106&gt;0,Config!$B$18,0),"")))))</f>
        <v/>
      </c>
      <c r="M106">
        <f>IF(H106="Mandante venceu por WO",D106,IF(H106="Visitante venceu por WO",F106,IF(OR(E106="",G106=""),"",IF(E106&gt;G106,D106,F106))))</f>
        <v/>
      </c>
    </row>
    <row r="107">
      <c r="K107">
        <f>IF(H107="Mandante venceu por WO",Config!$B$19,IF(H107="Visitante venceu por WO",0,IF(OR(E107="",G107=""),"",IF(E107&gt;G107,IF(G107=0,Config!$B$16,Config!$B$17),IF(G107&gt;E107,IF(E107&gt;0,Config!$B$18,0),"")))))</f>
        <v/>
      </c>
      <c r="L107">
        <f>IF(H107="Visitante venceu por WO",Config!$B$19,IF(H107="Mandante venceu por WO",0,IF(OR(E107="",G107=""),"",IF(G107&gt;E107,IF(E107=0,Config!$B$16,Config!$B$17),IF(E107&gt;G107,IF(G107&gt;0,Config!$B$18,0),"")))))</f>
        <v/>
      </c>
      <c r="M107">
        <f>IF(H107="Mandante venceu por WO",D107,IF(H107="Visitante venceu por WO",F107,IF(OR(E107="",G107=""),"",IF(E107&gt;G107,D107,F107))))</f>
        <v/>
      </c>
    </row>
    <row r="108">
      <c r="K108">
        <f>IF(H108="Mandante venceu por WO",Config!$B$19,IF(H108="Visitante venceu por WO",0,IF(OR(E108="",G108=""),"",IF(E108&gt;G108,IF(G108=0,Config!$B$16,Config!$B$17),IF(G108&gt;E108,IF(E108&gt;0,Config!$B$18,0),"")))))</f>
        <v/>
      </c>
      <c r="L108">
        <f>IF(H108="Visitante venceu por WO",Config!$B$19,IF(H108="Mandante venceu por WO",0,IF(OR(E108="",G108=""),"",IF(G108&gt;E108,IF(E108=0,Config!$B$16,Config!$B$17),IF(E108&gt;G108,IF(G108&gt;0,Config!$B$18,0),"")))))</f>
        <v/>
      </c>
      <c r="M108">
        <f>IF(H108="Mandante venceu por WO",D108,IF(H108="Visitante venceu por WO",F108,IF(OR(E108="",G108=""),"",IF(E108&gt;G108,D108,F108))))</f>
        <v/>
      </c>
    </row>
    <row r="109">
      <c r="K109">
        <f>IF(H109="Mandante venceu por WO",Config!$B$19,IF(H109="Visitante venceu por WO",0,IF(OR(E109="",G109=""),"",IF(E109&gt;G109,IF(G109=0,Config!$B$16,Config!$B$17),IF(G109&gt;E109,IF(E109&gt;0,Config!$B$18,0),"")))))</f>
        <v/>
      </c>
      <c r="L109">
        <f>IF(H109="Visitante venceu por WO",Config!$B$19,IF(H109="Mandante venceu por WO",0,IF(OR(E109="",G109=""),"",IF(G109&gt;E109,IF(E109=0,Config!$B$16,Config!$B$17),IF(E109&gt;G109,IF(G109&gt;0,Config!$B$18,0),"")))))</f>
        <v/>
      </c>
      <c r="M109">
        <f>IF(H109="Mandante venceu por WO",D109,IF(H109="Visitante venceu por WO",F109,IF(OR(E109="",G109=""),"",IF(E109&gt;G109,D109,F109))))</f>
        <v/>
      </c>
    </row>
    <row r="110">
      <c r="K110">
        <f>IF(H110="Mandante venceu por WO",Config!$B$19,IF(H110="Visitante venceu por WO",0,IF(OR(E110="",G110=""),"",IF(E110&gt;G110,IF(G110=0,Config!$B$16,Config!$B$17),IF(G110&gt;E110,IF(E110&gt;0,Config!$B$18,0),"")))))</f>
        <v/>
      </c>
      <c r="L110">
        <f>IF(H110="Visitante venceu por WO",Config!$B$19,IF(H110="Mandante venceu por WO",0,IF(OR(E110="",G110=""),"",IF(G110&gt;E110,IF(E110=0,Config!$B$16,Config!$B$17),IF(E110&gt;G110,IF(G110&gt;0,Config!$B$18,0),"")))))</f>
        <v/>
      </c>
      <c r="M110">
        <f>IF(H110="Mandante venceu por WO",D110,IF(H110="Visitante venceu por WO",F110,IF(OR(E110="",G110=""),"",IF(E110&gt;G110,D110,F110))))</f>
        <v/>
      </c>
    </row>
    <row r="111">
      <c r="K111">
        <f>IF(H111="Mandante venceu por WO",Config!$B$19,IF(H111="Visitante venceu por WO",0,IF(OR(E111="",G111=""),"",IF(E111&gt;G111,IF(G111=0,Config!$B$16,Config!$B$17),IF(G111&gt;E111,IF(E111&gt;0,Config!$B$18,0),"")))))</f>
        <v/>
      </c>
      <c r="L111">
        <f>IF(H111="Visitante venceu por WO",Config!$B$19,IF(H111="Mandante venceu por WO",0,IF(OR(E111="",G111=""),"",IF(G111&gt;E111,IF(E111=0,Config!$B$16,Config!$B$17),IF(E111&gt;G111,IF(G111&gt;0,Config!$B$18,0),"")))))</f>
        <v/>
      </c>
      <c r="M111">
        <f>IF(H111="Mandante venceu por WO",D111,IF(H111="Visitante venceu por WO",F111,IF(OR(E111="",G111=""),"",IF(E111&gt;G111,D111,F111))))</f>
        <v/>
      </c>
    </row>
    <row r="112">
      <c r="K112">
        <f>IF(H112="Mandante venceu por WO",Config!$B$19,IF(H112="Visitante venceu por WO",0,IF(OR(E112="",G112=""),"",IF(E112&gt;G112,IF(G112=0,Config!$B$16,Config!$B$17),IF(G112&gt;E112,IF(E112&gt;0,Config!$B$18,0),"")))))</f>
        <v/>
      </c>
      <c r="L112">
        <f>IF(H112="Visitante venceu por WO",Config!$B$19,IF(H112="Mandante venceu por WO",0,IF(OR(E112="",G112=""),"",IF(G112&gt;E112,IF(E112=0,Config!$B$16,Config!$B$17),IF(E112&gt;G112,IF(G112&gt;0,Config!$B$18,0),"")))))</f>
        <v/>
      </c>
      <c r="M112">
        <f>IF(H112="Mandante venceu por WO",D112,IF(H112="Visitante venceu por WO",F112,IF(OR(E112="",G112=""),"",IF(E112&gt;G112,D112,F112))))</f>
        <v/>
      </c>
    </row>
    <row r="113">
      <c r="K113">
        <f>IF(H113="Mandante venceu por WO",Config!$B$19,IF(H113="Visitante venceu por WO",0,IF(OR(E113="",G113=""),"",IF(E113&gt;G113,IF(G113=0,Config!$B$16,Config!$B$17),IF(G113&gt;E113,IF(E113&gt;0,Config!$B$18,0),"")))))</f>
        <v/>
      </c>
      <c r="L113">
        <f>IF(H113="Visitante venceu por WO",Config!$B$19,IF(H113="Mandante venceu por WO",0,IF(OR(E113="",G113=""),"",IF(G113&gt;E113,IF(E113=0,Config!$B$16,Config!$B$17),IF(E113&gt;G113,IF(G113&gt;0,Config!$B$18,0),"")))))</f>
        <v/>
      </c>
      <c r="M113">
        <f>IF(H113="Mandante venceu por WO",D113,IF(H113="Visitante venceu por WO",F113,IF(OR(E113="",G113=""),"",IF(E113&gt;G113,D113,F113))))</f>
        <v/>
      </c>
    </row>
    <row r="114">
      <c r="K114">
        <f>IF(H114="Mandante venceu por WO",Config!$B$19,IF(H114="Visitante venceu por WO",0,IF(OR(E114="",G114=""),"",IF(E114&gt;G114,IF(G114=0,Config!$B$16,Config!$B$17),IF(G114&gt;E114,IF(E114&gt;0,Config!$B$18,0),"")))))</f>
        <v/>
      </c>
      <c r="L114">
        <f>IF(H114="Visitante venceu por WO",Config!$B$19,IF(H114="Mandante venceu por WO",0,IF(OR(E114="",G114=""),"",IF(G114&gt;E114,IF(E114=0,Config!$B$16,Config!$B$17),IF(E114&gt;G114,IF(G114&gt;0,Config!$B$18,0),"")))))</f>
        <v/>
      </c>
      <c r="M114">
        <f>IF(H114="Mandante venceu por WO",D114,IF(H114="Visitante venceu por WO",F114,IF(OR(E114="",G114=""),"",IF(E114&gt;G114,D114,F114))))</f>
        <v/>
      </c>
    </row>
    <row r="115">
      <c r="K115">
        <f>IF(H115="Mandante venceu por WO",Config!$B$19,IF(H115="Visitante venceu por WO",0,IF(OR(E115="",G115=""),"",IF(E115&gt;G115,IF(G115=0,Config!$B$16,Config!$B$17),IF(G115&gt;E115,IF(E115&gt;0,Config!$B$18,0),"")))))</f>
        <v/>
      </c>
      <c r="L115">
        <f>IF(H115="Visitante venceu por WO",Config!$B$19,IF(H115="Mandante venceu por WO",0,IF(OR(E115="",G115=""),"",IF(G115&gt;E115,IF(E115=0,Config!$B$16,Config!$B$17),IF(E115&gt;G115,IF(G115&gt;0,Config!$B$18,0),"")))))</f>
        <v/>
      </c>
      <c r="M115">
        <f>IF(H115="Mandante venceu por WO",D115,IF(H115="Visitante venceu por WO",F115,IF(OR(E115="",G115=""),"",IF(E115&gt;G115,D115,F115))))</f>
        <v/>
      </c>
    </row>
    <row r="116">
      <c r="K116">
        <f>IF(H116="Mandante venceu por WO",Config!$B$19,IF(H116="Visitante venceu por WO",0,IF(OR(E116="",G116=""),"",IF(E116&gt;G116,IF(G116=0,Config!$B$16,Config!$B$17),IF(G116&gt;E116,IF(E116&gt;0,Config!$B$18,0),"")))))</f>
        <v/>
      </c>
      <c r="L116">
        <f>IF(H116="Visitante venceu por WO",Config!$B$19,IF(H116="Mandante venceu por WO",0,IF(OR(E116="",G116=""),"",IF(G116&gt;E116,IF(E116=0,Config!$B$16,Config!$B$17),IF(E116&gt;G116,IF(G116&gt;0,Config!$B$18,0),"")))))</f>
        <v/>
      </c>
      <c r="M116">
        <f>IF(H116="Mandante venceu por WO",D116,IF(H116="Visitante venceu por WO",F116,IF(OR(E116="",G116=""),"",IF(E116&gt;G116,D116,F116))))</f>
        <v/>
      </c>
    </row>
    <row r="117">
      <c r="K117">
        <f>IF(H117="Mandante venceu por WO",Config!$B$19,IF(H117="Visitante venceu por WO",0,IF(OR(E117="",G117=""),"",IF(E117&gt;G117,IF(G117=0,Config!$B$16,Config!$B$17),IF(G117&gt;E117,IF(E117&gt;0,Config!$B$18,0),"")))))</f>
        <v/>
      </c>
      <c r="L117">
        <f>IF(H117="Visitante venceu por WO",Config!$B$19,IF(H117="Mandante venceu por WO",0,IF(OR(E117="",G117=""),"",IF(G117&gt;E117,IF(E117=0,Config!$B$16,Config!$B$17),IF(E117&gt;G117,IF(G117&gt;0,Config!$B$18,0),"")))))</f>
        <v/>
      </c>
      <c r="M117">
        <f>IF(H117="Mandante venceu por WO",D117,IF(H117="Visitante venceu por WO",F117,IF(OR(E117="",G117=""),"",IF(E117&gt;G117,D117,F117))))</f>
        <v/>
      </c>
    </row>
    <row r="118">
      <c r="K118">
        <f>IF(H118="Mandante venceu por WO",Config!$B$19,IF(H118="Visitante venceu por WO",0,IF(OR(E118="",G118=""),"",IF(E118&gt;G118,IF(G118=0,Config!$B$16,Config!$B$17),IF(G118&gt;E118,IF(E118&gt;0,Config!$B$18,0),"")))))</f>
        <v/>
      </c>
      <c r="L118">
        <f>IF(H118="Visitante venceu por WO",Config!$B$19,IF(H118="Mandante venceu por WO",0,IF(OR(E118="",G118=""),"",IF(G118&gt;E118,IF(E118=0,Config!$B$16,Config!$B$17),IF(E118&gt;G118,IF(G118&gt;0,Config!$B$18,0),"")))))</f>
        <v/>
      </c>
      <c r="M118">
        <f>IF(H118="Mandante venceu por WO",D118,IF(H118="Visitante venceu por WO",F118,IF(OR(E118="",G118=""),"",IF(E118&gt;G118,D118,F118))))</f>
        <v/>
      </c>
    </row>
    <row r="119">
      <c r="K119">
        <f>IF(H119="Mandante venceu por WO",Config!$B$19,IF(H119="Visitante venceu por WO",0,IF(OR(E119="",G119=""),"",IF(E119&gt;G119,IF(G119=0,Config!$B$16,Config!$B$17),IF(G119&gt;E119,IF(E119&gt;0,Config!$B$18,0),"")))))</f>
        <v/>
      </c>
      <c r="L119">
        <f>IF(H119="Visitante venceu por WO",Config!$B$19,IF(H119="Mandante venceu por WO",0,IF(OR(E119="",G119=""),"",IF(G119&gt;E119,IF(E119=0,Config!$B$16,Config!$B$17),IF(E119&gt;G119,IF(G119&gt;0,Config!$B$18,0),"")))))</f>
        <v/>
      </c>
      <c r="M119">
        <f>IF(H119="Mandante venceu por WO",D119,IF(H119="Visitante venceu por WO",F119,IF(OR(E119="",G119=""),"",IF(E119&gt;G119,D119,F119))))</f>
        <v/>
      </c>
    </row>
    <row r="120">
      <c r="K120">
        <f>IF(H120="Mandante venceu por WO",Config!$B$19,IF(H120="Visitante venceu por WO",0,IF(OR(E120="",G120=""),"",IF(E120&gt;G120,IF(G120=0,Config!$B$16,Config!$B$17),IF(G120&gt;E120,IF(E120&gt;0,Config!$B$18,0),"")))))</f>
        <v/>
      </c>
      <c r="L120">
        <f>IF(H120="Visitante venceu por WO",Config!$B$19,IF(H120="Mandante venceu por WO",0,IF(OR(E120="",G120=""),"",IF(G120&gt;E120,IF(E120=0,Config!$B$16,Config!$B$17),IF(E120&gt;G120,IF(G120&gt;0,Config!$B$18,0),"")))))</f>
        <v/>
      </c>
      <c r="M120">
        <f>IF(H120="Mandante venceu por WO",D120,IF(H120="Visitante venceu por WO",F120,IF(OR(E120="",G120=""),"",IF(E120&gt;G120,D120,F120))))</f>
        <v/>
      </c>
    </row>
    <row r="121">
      <c r="K121">
        <f>IF(H121="Mandante venceu por WO",Config!$B$19,IF(H121="Visitante venceu por WO",0,IF(OR(E121="",G121=""),"",IF(E121&gt;G121,IF(G121=0,Config!$B$16,Config!$B$17),IF(G121&gt;E121,IF(E121&gt;0,Config!$B$18,0),"")))))</f>
        <v/>
      </c>
      <c r="L121">
        <f>IF(H121="Visitante venceu por WO",Config!$B$19,IF(H121="Mandante venceu por WO",0,IF(OR(E121="",G121=""),"",IF(G121&gt;E121,IF(E121=0,Config!$B$16,Config!$B$17),IF(E121&gt;G121,IF(G121&gt;0,Config!$B$18,0),"")))))</f>
        <v/>
      </c>
      <c r="M121">
        <f>IF(H121="Mandante venceu por WO",D121,IF(H121="Visitante venceu por WO",F121,IF(OR(E121="",G121=""),"",IF(E121&gt;G121,D121,F121))))</f>
        <v/>
      </c>
    </row>
    <row r="122">
      <c r="K122">
        <f>IF(H122="Mandante venceu por WO",Config!$B$19,IF(H122="Visitante venceu por WO",0,IF(OR(E122="",G122=""),"",IF(E122&gt;G122,IF(G122=0,Config!$B$16,Config!$B$17),IF(G122&gt;E122,IF(E122&gt;0,Config!$B$18,0),"")))))</f>
        <v/>
      </c>
      <c r="L122">
        <f>IF(H122="Visitante venceu por WO",Config!$B$19,IF(H122="Mandante venceu por WO",0,IF(OR(E122="",G122=""),"",IF(G122&gt;E122,IF(E122=0,Config!$B$16,Config!$B$17),IF(E122&gt;G122,IF(G122&gt;0,Config!$B$18,0),"")))))</f>
        <v/>
      </c>
      <c r="M122">
        <f>IF(H122="Mandante venceu por WO",D122,IF(H122="Visitante venceu por WO",F122,IF(OR(E122="",G122=""),"",IF(E122&gt;G122,D122,F122))))</f>
        <v/>
      </c>
    </row>
    <row r="123">
      <c r="K123">
        <f>IF(H123="Mandante venceu por WO",Config!$B$19,IF(H123="Visitante venceu por WO",0,IF(OR(E123="",G123=""),"",IF(E123&gt;G123,IF(G123=0,Config!$B$16,Config!$B$17),IF(G123&gt;E123,IF(E123&gt;0,Config!$B$18,0),"")))))</f>
        <v/>
      </c>
      <c r="L123">
        <f>IF(H123="Visitante venceu por WO",Config!$B$19,IF(H123="Mandante venceu por WO",0,IF(OR(E123="",G123=""),"",IF(G123&gt;E123,IF(E123=0,Config!$B$16,Config!$B$17),IF(E123&gt;G123,IF(G123&gt;0,Config!$B$18,0),"")))))</f>
        <v/>
      </c>
      <c r="M123">
        <f>IF(H123="Mandante venceu por WO",D123,IF(H123="Visitante venceu por WO",F123,IF(OR(E123="",G123=""),"",IF(E123&gt;G123,D123,F123))))</f>
        <v/>
      </c>
    </row>
    <row r="124">
      <c r="K124">
        <f>IF(H124="Mandante venceu por WO",Config!$B$19,IF(H124="Visitante venceu por WO",0,IF(OR(E124="",G124=""),"",IF(E124&gt;G124,IF(G124=0,Config!$B$16,Config!$B$17),IF(G124&gt;E124,IF(E124&gt;0,Config!$B$18,0),"")))))</f>
        <v/>
      </c>
      <c r="L124">
        <f>IF(H124="Visitante venceu por WO",Config!$B$19,IF(H124="Mandante venceu por WO",0,IF(OR(E124="",G124=""),"",IF(G124&gt;E124,IF(E124=0,Config!$B$16,Config!$B$17),IF(E124&gt;G124,IF(G124&gt;0,Config!$B$18,0),"")))))</f>
        <v/>
      </c>
      <c r="M124">
        <f>IF(H124="Mandante venceu por WO",D124,IF(H124="Visitante venceu por WO",F124,IF(OR(E124="",G124=""),"",IF(E124&gt;G124,D124,F124))))</f>
        <v/>
      </c>
    </row>
    <row r="125">
      <c r="K125">
        <f>IF(H125="Mandante venceu por WO",Config!$B$19,IF(H125="Visitante venceu por WO",0,IF(OR(E125="",G125=""),"",IF(E125&gt;G125,IF(G125=0,Config!$B$16,Config!$B$17),IF(G125&gt;E125,IF(E125&gt;0,Config!$B$18,0),"")))))</f>
        <v/>
      </c>
      <c r="L125">
        <f>IF(H125="Visitante venceu por WO",Config!$B$19,IF(H125="Mandante venceu por WO",0,IF(OR(E125="",G125=""),"",IF(G125&gt;E125,IF(E125=0,Config!$B$16,Config!$B$17),IF(E125&gt;G125,IF(G125&gt;0,Config!$B$18,0),"")))))</f>
        <v/>
      </c>
      <c r="M125">
        <f>IF(H125="Mandante venceu por WO",D125,IF(H125="Visitante venceu por WO",F125,IF(OR(E125="",G125=""),"",IF(E125&gt;G125,D125,F125))))</f>
        <v/>
      </c>
    </row>
    <row r="126">
      <c r="K126">
        <f>IF(H126="Mandante venceu por WO",Config!$B$19,IF(H126="Visitante venceu por WO",0,IF(OR(E126="",G126=""),"",IF(E126&gt;G126,IF(G126=0,Config!$B$16,Config!$B$17),IF(G126&gt;E126,IF(E126&gt;0,Config!$B$18,0),"")))))</f>
        <v/>
      </c>
      <c r="L126">
        <f>IF(H126="Visitante venceu por WO",Config!$B$19,IF(H126="Mandante venceu por WO",0,IF(OR(E126="",G126=""),"",IF(G126&gt;E126,IF(E126=0,Config!$B$16,Config!$B$17),IF(E126&gt;G126,IF(G126&gt;0,Config!$B$18,0),"")))))</f>
        <v/>
      </c>
      <c r="M126">
        <f>IF(H126="Mandante venceu por WO",D126,IF(H126="Visitante venceu por WO",F126,IF(OR(E126="",G126=""),"",IF(E126&gt;G126,D126,F126))))</f>
        <v/>
      </c>
    </row>
    <row r="127">
      <c r="K127">
        <f>IF(H127="Mandante venceu por WO",Config!$B$19,IF(H127="Visitante venceu por WO",0,IF(OR(E127="",G127=""),"",IF(E127&gt;G127,IF(G127=0,Config!$B$16,Config!$B$17),IF(G127&gt;E127,IF(E127&gt;0,Config!$B$18,0),"")))))</f>
        <v/>
      </c>
      <c r="L127">
        <f>IF(H127="Visitante venceu por WO",Config!$B$19,IF(H127="Mandante venceu por WO",0,IF(OR(E127="",G127=""),"",IF(G127&gt;E127,IF(E127=0,Config!$B$16,Config!$B$17),IF(E127&gt;G127,IF(G127&gt;0,Config!$B$18,0),"")))))</f>
        <v/>
      </c>
      <c r="M127">
        <f>IF(H127="Mandante venceu por WO",D127,IF(H127="Visitante venceu por WO",F127,IF(OR(E127="",G127=""),"",IF(E127&gt;G127,D127,F127))))</f>
        <v/>
      </c>
    </row>
    <row r="128">
      <c r="K128">
        <f>IF(H128="Mandante venceu por WO",Config!$B$19,IF(H128="Visitante venceu por WO",0,IF(OR(E128="",G128=""),"",IF(E128&gt;G128,IF(G128=0,Config!$B$16,Config!$B$17),IF(G128&gt;E128,IF(E128&gt;0,Config!$B$18,0),"")))))</f>
        <v/>
      </c>
      <c r="L128">
        <f>IF(H128="Visitante venceu por WO",Config!$B$19,IF(H128="Mandante venceu por WO",0,IF(OR(E128="",G128=""),"",IF(G128&gt;E128,IF(E128=0,Config!$B$16,Config!$B$17),IF(E128&gt;G128,IF(G128&gt;0,Config!$B$18,0),"")))))</f>
        <v/>
      </c>
      <c r="M128">
        <f>IF(H128="Mandante venceu por WO",D128,IF(H128="Visitante venceu por WO",F128,IF(OR(E128="",G128=""),"",IF(E128&gt;G128,D128,F128))))</f>
        <v/>
      </c>
    </row>
    <row r="129">
      <c r="K129">
        <f>IF(H129="Mandante venceu por WO",Config!$B$19,IF(H129="Visitante venceu por WO",0,IF(OR(E129="",G129=""),"",IF(E129&gt;G129,IF(G129=0,Config!$B$16,Config!$B$17),IF(G129&gt;E129,IF(E129&gt;0,Config!$B$18,0),"")))))</f>
        <v/>
      </c>
      <c r="L129">
        <f>IF(H129="Visitante venceu por WO",Config!$B$19,IF(H129="Mandante venceu por WO",0,IF(OR(E129="",G129=""),"",IF(G129&gt;E129,IF(E129=0,Config!$B$16,Config!$B$17),IF(E129&gt;G129,IF(G129&gt;0,Config!$B$18,0),"")))))</f>
        <v/>
      </c>
      <c r="M129">
        <f>IF(H129="Mandante venceu por WO",D129,IF(H129="Visitante venceu por WO",F129,IF(OR(E129="",G129=""),"",IF(E129&gt;G129,D129,F129))))</f>
        <v/>
      </c>
    </row>
    <row r="130">
      <c r="K130">
        <f>IF(H130="Mandante venceu por WO",Config!$B$19,IF(H130="Visitante venceu por WO",0,IF(OR(E130="",G130=""),"",IF(E130&gt;G130,IF(G130=0,Config!$B$16,Config!$B$17),IF(G130&gt;E130,IF(E130&gt;0,Config!$B$18,0),"")))))</f>
        <v/>
      </c>
      <c r="L130">
        <f>IF(H130="Visitante venceu por WO",Config!$B$19,IF(H130="Mandante venceu por WO",0,IF(OR(E130="",G130=""),"",IF(G130&gt;E130,IF(E130=0,Config!$B$16,Config!$B$17),IF(E130&gt;G130,IF(G130&gt;0,Config!$B$18,0),"")))))</f>
        <v/>
      </c>
      <c r="M130">
        <f>IF(H130="Mandante venceu por WO",D130,IF(H130="Visitante venceu por WO",F130,IF(OR(E130="",G130=""),"",IF(E130&gt;G130,D130,F130))))</f>
        <v/>
      </c>
    </row>
    <row r="131">
      <c r="K131">
        <f>IF(H131="Mandante venceu por WO",Config!$B$19,IF(H131="Visitante venceu por WO",0,IF(OR(E131="",G131=""),"",IF(E131&gt;G131,IF(G131=0,Config!$B$16,Config!$B$17),IF(G131&gt;E131,IF(E131&gt;0,Config!$B$18,0),"")))))</f>
        <v/>
      </c>
      <c r="L131">
        <f>IF(H131="Visitante venceu por WO",Config!$B$19,IF(H131="Mandante venceu por WO",0,IF(OR(E131="",G131=""),"",IF(G131&gt;E131,IF(E131=0,Config!$B$16,Config!$B$17),IF(E131&gt;G131,IF(G131&gt;0,Config!$B$18,0),"")))))</f>
        <v/>
      </c>
      <c r="M131">
        <f>IF(H131="Mandante venceu por WO",D131,IF(H131="Visitante venceu por WO",F131,IF(OR(E131="",G131=""),"",IF(E131&gt;G131,D131,F131))))</f>
        <v/>
      </c>
    </row>
    <row r="132">
      <c r="K132">
        <f>IF(H132="Mandante venceu por WO",Config!$B$19,IF(H132="Visitante venceu por WO",0,IF(OR(E132="",G132=""),"",IF(E132&gt;G132,IF(G132=0,Config!$B$16,Config!$B$17),IF(G132&gt;E132,IF(E132&gt;0,Config!$B$18,0),"")))))</f>
        <v/>
      </c>
      <c r="L132">
        <f>IF(H132="Visitante venceu por WO",Config!$B$19,IF(H132="Mandante venceu por WO",0,IF(OR(E132="",G132=""),"",IF(G132&gt;E132,IF(E132=0,Config!$B$16,Config!$B$17),IF(E132&gt;G132,IF(G132&gt;0,Config!$B$18,0),"")))))</f>
        <v/>
      </c>
      <c r="M132">
        <f>IF(H132="Mandante venceu por WO",D132,IF(H132="Visitante venceu por WO",F132,IF(OR(E132="",G132=""),"",IF(E132&gt;G132,D132,F132))))</f>
        <v/>
      </c>
    </row>
    <row r="133">
      <c r="K133">
        <f>IF(H133="Mandante venceu por WO",Config!$B$19,IF(H133="Visitante venceu por WO",0,IF(OR(E133="",G133=""),"",IF(E133&gt;G133,IF(G133=0,Config!$B$16,Config!$B$17),IF(G133&gt;E133,IF(E133&gt;0,Config!$B$18,0),"")))))</f>
        <v/>
      </c>
      <c r="L133">
        <f>IF(H133="Visitante venceu por WO",Config!$B$19,IF(H133="Mandante venceu por WO",0,IF(OR(E133="",G133=""),"",IF(G133&gt;E133,IF(E133=0,Config!$B$16,Config!$B$17),IF(E133&gt;G133,IF(G133&gt;0,Config!$B$18,0),"")))))</f>
        <v/>
      </c>
      <c r="M133">
        <f>IF(H133="Mandante venceu por WO",D133,IF(H133="Visitante venceu por WO",F133,IF(OR(E133="",G133=""),"",IF(E133&gt;G133,D133,F133))))</f>
        <v/>
      </c>
    </row>
    <row r="134">
      <c r="K134">
        <f>IF(H134="Mandante venceu por WO",Config!$B$19,IF(H134="Visitante venceu por WO",0,IF(OR(E134="",G134=""),"",IF(E134&gt;G134,IF(G134=0,Config!$B$16,Config!$B$17),IF(G134&gt;E134,IF(E134&gt;0,Config!$B$18,0),"")))))</f>
        <v/>
      </c>
      <c r="L134">
        <f>IF(H134="Visitante venceu por WO",Config!$B$19,IF(H134="Mandante venceu por WO",0,IF(OR(E134="",G134=""),"",IF(G134&gt;E134,IF(E134=0,Config!$B$16,Config!$B$17),IF(E134&gt;G134,IF(G134&gt;0,Config!$B$18,0),"")))))</f>
        <v/>
      </c>
      <c r="M134">
        <f>IF(H134="Mandante venceu por WO",D134,IF(H134="Visitante venceu por WO",F134,IF(OR(E134="",G134=""),"",IF(E134&gt;G134,D134,F134))))</f>
        <v/>
      </c>
    </row>
    <row r="135">
      <c r="K135">
        <f>IF(H135="Mandante venceu por WO",Config!$B$19,IF(H135="Visitante venceu por WO",0,IF(OR(E135="",G135=""),"",IF(E135&gt;G135,IF(G135=0,Config!$B$16,Config!$B$17),IF(G135&gt;E135,IF(E135&gt;0,Config!$B$18,0),"")))))</f>
        <v/>
      </c>
      <c r="L135">
        <f>IF(H135="Visitante venceu por WO",Config!$B$19,IF(H135="Mandante venceu por WO",0,IF(OR(E135="",G135=""),"",IF(G135&gt;E135,IF(E135=0,Config!$B$16,Config!$B$17),IF(E135&gt;G135,IF(G135&gt;0,Config!$B$18,0),"")))))</f>
        <v/>
      </c>
      <c r="M135">
        <f>IF(H135="Mandante venceu por WO",D135,IF(H135="Visitante venceu por WO",F135,IF(OR(E135="",G135=""),"",IF(E135&gt;G135,D135,F135))))</f>
        <v/>
      </c>
    </row>
    <row r="136">
      <c r="K136">
        <f>IF(H136="Mandante venceu por WO",Config!$B$19,IF(H136="Visitante venceu por WO",0,IF(OR(E136="",G136=""),"",IF(E136&gt;G136,IF(G136=0,Config!$B$16,Config!$B$17),IF(G136&gt;E136,IF(E136&gt;0,Config!$B$18,0),"")))))</f>
        <v/>
      </c>
      <c r="L136">
        <f>IF(H136="Visitante venceu por WO",Config!$B$19,IF(H136="Mandante venceu por WO",0,IF(OR(E136="",G136=""),"",IF(G136&gt;E136,IF(E136=0,Config!$B$16,Config!$B$17),IF(E136&gt;G136,IF(G136&gt;0,Config!$B$18,0),"")))))</f>
        <v/>
      </c>
      <c r="M136">
        <f>IF(H136="Mandante venceu por WO",D136,IF(H136="Visitante venceu por WO",F136,IF(OR(E136="",G136=""),"",IF(E136&gt;G136,D136,F136))))</f>
        <v/>
      </c>
    </row>
    <row r="137">
      <c r="K137">
        <f>IF(H137="Mandante venceu por WO",Config!$B$19,IF(H137="Visitante venceu por WO",0,IF(OR(E137="",G137=""),"",IF(E137&gt;G137,IF(G137=0,Config!$B$16,Config!$B$17),IF(G137&gt;E137,IF(E137&gt;0,Config!$B$18,0),"")))))</f>
        <v/>
      </c>
      <c r="L137">
        <f>IF(H137="Visitante venceu por WO",Config!$B$19,IF(H137="Mandante venceu por WO",0,IF(OR(E137="",G137=""),"",IF(G137&gt;E137,IF(E137=0,Config!$B$16,Config!$B$17),IF(E137&gt;G137,IF(G137&gt;0,Config!$B$18,0),"")))))</f>
        <v/>
      </c>
      <c r="M137">
        <f>IF(H137="Mandante venceu por WO",D137,IF(H137="Visitante venceu por WO",F137,IF(OR(E137="",G137=""),"",IF(E137&gt;G137,D137,F137))))</f>
        <v/>
      </c>
    </row>
    <row r="138">
      <c r="K138">
        <f>IF(H138="Mandante venceu por WO",Config!$B$19,IF(H138="Visitante venceu por WO",0,IF(OR(E138="",G138=""),"",IF(E138&gt;G138,IF(G138=0,Config!$B$16,Config!$B$17),IF(G138&gt;E138,IF(E138&gt;0,Config!$B$18,0),"")))))</f>
        <v/>
      </c>
      <c r="L138">
        <f>IF(H138="Visitante venceu por WO",Config!$B$19,IF(H138="Mandante venceu por WO",0,IF(OR(E138="",G138=""),"",IF(G138&gt;E138,IF(E138=0,Config!$B$16,Config!$B$17),IF(E138&gt;G138,IF(G138&gt;0,Config!$B$18,0),"")))))</f>
        <v/>
      </c>
      <c r="M138">
        <f>IF(H138="Mandante venceu por WO",D138,IF(H138="Visitante venceu por WO",F138,IF(OR(E138="",G138=""),"",IF(E138&gt;G138,D138,F138))))</f>
        <v/>
      </c>
    </row>
    <row r="139">
      <c r="K139">
        <f>IF(H139="Mandante venceu por WO",Config!$B$19,IF(H139="Visitante venceu por WO",0,IF(OR(E139="",G139=""),"",IF(E139&gt;G139,IF(G139=0,Config!$B$16,Config!$B$17),IF(G139&gt;E139,IF(E139&gt;0,Config!$B$18,0),"")))))</f>
        <v/>
      </c>
      <c r="L139">
        <f>IF(H139="Visitante venceu por WO",Config!$B$19,IF(H139="Mandante venceu por WO",0,IF(OR(E139="",G139=""),"",IF(G139&gt;E139,IF(E139=0,Config!$B$16,Config!$B$17),IF(E139&gt;G139,IF(G139&gt;0,Config!$B$18,0),"")))))</f>
        <v/>
      </c>
      <c r="M139">
        <f>IF(H139="Mandante venceu por WO",D139,IF(H139="Visitante venceu por WO",F139,IF(OR(E139="",G139=""),"",IF(E139&gt;G139,D139,F139))))</f>
        <v/>
      </c>
    </row>
    <row r="140">
      <c r="K140">
        <f>IF(H140="Mandante venceu por WO",Config!$B$19,IF(H140="Visitante venceu por WO",0,IF(OR(E140="",G140=""),"",IF(E140&gt;G140,IF(G140=0,Config!$B$16,Config!$B$17),IF(G140&gt;E140,IF(E140&gt;0,Config!$B$18,0),"")))))</f>
        <v/>
      </c>
      <c r="L140">
        <f>IF(H140="Visitante venceu por WO",Config!$B$19,IF(H140="Mandante venceu por WO",0,IF(OR(E140="",G140=""),"",IF(G140&gt;E140,IF(E140=0,Config!$B$16,Config!$B$17),IF(E140&gt;G140,IF(G140&gt;0,Config!$B$18,0),"")))))</f>
        <v/>
      </c>
      <c r="M140">
        <f>IF(H140="Mandante venceu por WO",D140,IF(H140="Visitante venceu por WO",F140,IF(OR(E140="",G140=""),"",IF(E140&gt;G140,D140,F140))))</f>
        <v/>
      </c>
    </row>
    <row r="141">
      <c r="K141">
        <f>IF(H141="Mandante venceu por WO",Config!$B$19,IF(H141="Visitante venceu por WO",0,IF(OR(E141="",G141=""),"",IF(E141&gt;G141,IF(G141=0,Config!$B$16,Config!$B$17),IF(G141&gt;E141,IF(E141&gt;0,Config!$B$18,0),"")))))</f>
        <v/>
      </c>
      <c r="L141">
        <f>IF(H141="Visitante venceu por WO",Config!$B$19,IF(H141="Mandante venceu por WO",0,IF(OR(E141="",G141=""),"",IF(G141&gt;E141,IF(E141=0,Config!$B$16,Config!$B$17),IF(E141&gt;G141,IF(G141&gt;0,Config!$B$18,0),"")))))</f>
        <v/>
      </c>
      <c r="M141">
        <f>IF(H141="Mandante venceu por WO",D141,IF(H141="Visitante venceu por WO",F141,IF(OR(E141="",G141=""),"",IF(E141&gt;G141,D141,F141))))</f>
        <v/>
      </c>
    </row>
    <row r="142">
      <c r="K142">
        <f>IF(H142="Mandante venceu por WO",Config!$B$19,IF(H142="Visitante venceu por WO",0,IF(OR(E142="",G142=""),"",IF(E142&gt;G142,IF(G142=0,Config!$B$16,Config!$B$17),IF(G142&gt;E142,IF(E142&gt;0,Config!$B$18,0),"")))))</f>
        <v/>
      </c>
      <c r="L142">
        <f>IF(H142="Visitante venceu por WO",Config!$B$19,IF(H142="Mandante venceu por WO",0,IF(OR(E142="",G142=""),"",IF(G142&gt;E142,IF(E142=0,Config!$B$16,Config!$B$17),IF(E142&gt;G142,IF(G142&gt;0,Config!$B$18,0),"")))))</f>
        <v/>
      </c>
      <c r="M142">
        <f>IF(H142="Mandante venceu por WO",D142,IF(H142="Visitante venceu por WO",F142,IF(OR(E142="",G142=""),"",IF(E142&gt;G142,D142,F142))))</f>
        <v/>
      </c>
    </row>
    <row r="143">
      <c r="K143">
        <f>IF(H143="Mandante venceu por WO",Config!$B$19,IF(H143="Visitante venceu por WO",0,IF(OR(E143="",G143=""),"",IF(E143&gt;G143,IF(G143=0,Config!$B$16,Config!$B$17),IF(G143&gt;E143,IF(E143&gt;0,Config!$B$18,0),"")))))</f>
        <v/>
      </c>
      <c r="L143">
        <f>IF(H143="Visitante venceu por WO",Config!$B$19,IF(H143="Mandante venceu por WO",0,IF(OR(E143="",G143=""),"",IF(G143&gt;E143,IF(E143=0,Config!$B$16,Config!$B$17),IF(E143&gt;G143,IF(G143&gt;0,Config!$B$18,0),"")))))</f>
        <v/>
      </c>
      <c r="M143">
        <f>IF(H143="Mandante venceu por WO",D143,IF(H143="Visitante venceu por WO",F143,IF(OR(E143="",G143=""),"",IF(E143&gt;G143,D143,F143))))</f>
        <v/>
      </c>
    </row>
    <row r="144">
      <c r="K144">
        <f>IF(H144="Mandante venceu por WO",Config!$B$19,IF(H144="Visitante venceu por WO",0,IF(OR(E144="",G144=""),"",IF(E144&gt;G144,IF(G144=0,Config!$B$16,Config!$B$17),IF(G144&gt;E144,IF(E144&gt;0,Config!$B$18,0),"")))))</f>
        <v/>
      </c>
      <c r="L144">
        <f>IF(H144="Visitante venceu por WO",Config!$B$19,IF(H144="Mandante venceu por WO",0,IF(OR(E144="",G144=""),"",IF(G144&gt;E144,IF(E144=0,Config!$B$16,Config!$B$17),IF(E144&gt;G144,IF(G144&gt;0,Config!$B$18,0),"")))))</f>
        <v/>
      </c>
      <c r="M144">
        <f>IF(H144="Mandante venceu por WO",D144,IF(H144="Visitante venceu por WO",F144,IF(OR(E144="",G144=""),"",IF(E144&gt;G144,D144,F144))))</f>
        <v/>
      </c>
    </row>
    <row r="145">
      <c r="K145">
        <f>IF(H145="Mandante venceu por WO",Config!$B$19,IF(H145="Visitante venceu por WO",0,IF(OR(E145="",G145=""),"",IF(E145&gt;G145,IF(G145=0,Config!$B$16,Config!$B$17),IF(G145&gt;E145,IF(E145&gt;0,Config!$B$18,0),"")))))</f>
        <v/>
      </c>
      <c r="L145">
        <f>IF(H145="Visitante venceu por WO",Config!$B$19,IF(H145="Mandante venceu por WO",0,IF(OR(E145="",G145=""),"",IF(G145&gt;E145,IF(E145=0,Config!$B$16,Config!$B$17),IF(E145&gt;G145,IF(G145&gt;0,Config!$B$18,0),"")))))</f>
        <v/>
      </c>
      <c r="M145">
        <f>IF(H145="Mandante venceu por WO",D145,IF(H145="Visitante venceu por WO",F145,IF(OR(E145="",G145=""),"",IF(E145&gt;G145,D145,F145))))</f>
        <v/>
      </c>
    </row>
    <row r="146">
      <c r="K146">
        <f>IF(H146="Mandante venceu por WO",Config!$B$19,IF(H146="Visitante venceu por WO",0,IF(OR(E146="",G146=""),"",IF(E146&gt;G146,IF(G146=0,Config!$B$16,Config!$B$17),IF(G146&gt;E146,IF(E146&gt;0,Config!$B$18,0),"")))))</f>
        <v/>
      </c>
      <c r="L146">
        <f>IF(H146="Visitante venceu por WO",Config!$B$19,IF(H146="Mandante venceu por WO",0,IF(OR(E146="",G146=""),"",IF(G146&gt;E146,IF(E146=0,Config!$B$16,Config!$B$17),IF(E146&gt;G146,IF(G146&gt;0,Config!$B$18,0),"")))))</f>
        <v/>
      </c>
      <c r="M146">
        <f>IF(H146="Mandante venceu por WO",D146,IF(H146="Visitante venceu por WO",F146,IF(OR(E146="",G146=""),"",IF(E146&gt;G146,D146,F146))))</f>
        <v/>
      </c>
    </row>
    <row r="147">
      <c r="K147">
        <f>IF(H147="Mandante venceu por WO",Config!$B$19,IF(H147="Visitante venceu por WO",0,IF(OR(E147="",G147=""),"",IF(E147&gt;G147,IF(G147=0,Config!$B$16,Config!$B$17),IF(G147&gt;E147,IF(E147&gt;0,Config!$B$18,0),"")))))</f>
        <v/>
      </c>
      <c r="L147">
        <f>IF(H147="Visitante venceu por WO",Config!$B$19,IF(H147="Mandante venceu por WO",0,IF(OR(E147="",G147=""),"",IF(G147&gt;E147,IF(E147=0,Config!$B$16,Config!$B$17),IF(E147&gt;G147,IF(G147&gt;0,Config!$B$18,0),"")))))</f>
        <v/>
      </c>
      <c r="M147">
        <f>IF(H147="Mandante venceu por WO",D147,IF(H147="Visitante venceu por WO",F147,IF(OR(E147="",G147=""),"",IF(E147&gt;G147,D147,F147))))</f>
        <v/>
      </c>
    </row>
    <row r="148">
      <c r="K148">
        <f>IF(H148="Mandante venceu por WO",Config!$B$19,IF(H148="Visitante venceu por WO",0,IF(OR(E148="",G148=""),"",IF(E148&gt;G148,IF(G148=0,Config!$B$16,Config!$B$17),IF(G148&gt;E148,IF(E148&gt;0,Config!$B$18,0),"")))))</f>
        <v/>
      </c>
      <c r="L148">
        <f>IF(H148="Visitante venceu por WO",Config!$B$19,IF(H148="Mandante venceu por WO",0,IF(OR(E148="",G148=""),"",IF(G148&gt;E148,IF(E148=0,Config!$B$16,Config!$B$17),IF(E148&gt;G148,IF(G148&gt;0,Config!$B$18,0),"")))))</f>
        <v/>
      </c>
      <c r="M148">
        <f>IF(H148="Mandante venceu por WO",D148,IF(H148="Visitante venceu por WO",F148,IF(OR(E148="",G148=""),"",IF(E148&gt;G148,D148,F148))))</f>
        <v/>
      </c>
    </row>
    <row r="149">
      <c r="K149">
        <f>IF(H149="Mandante venceu por WO",Config!$B$19,IF(H149="Visitante venceu por WO",0,IF(OR(E149="",G149=""),"",IF(E149&gt;G149,IF(G149=0,Config!$B$16,Config!$B$17),IF(G149&gt;E149,IF(E149&gt;0,Config!$B$18,0),"")))))</f>
        <v/>
      </c>
      <c r="L149">
        <f>IF(H149="Visitante venceu por WO",Config!$B$19,IF(H149="Mandante venceu por WO",0,IF(OR(E149="",G149=""),"",IF(G149&gt;E149,IF(E149=0,Config!$B$16,Config!$B$17),IF(E149&gt;G149,IF(G149&gt;0,Config!$B$18,0),"")))))</f>
        <v/>
      </c>
      <c r="M149">
        <f>IF(H149="Mandante venceu por WO",D149,IF(H149="Visitante venceu por WO",F149,IF(OR(E149="",G149=""),"",IF(E149&gt;G149,D149,F149))))</f>
        <v/>
      </c>
    </row>
    <row r="150">
      <c r="K150">
        <f>IF(H150="Mandante venceu por WO",Config!$B$19,IF(H150="Visitante venceu por WO",0,IF(OR(E150="",G150=""),"",IF(E150&gt;G150,IF(G150=0,Config!$B$16,Config!$B$17),IF(G150&gt;E150,IF(E150&gt;0,Config!$B$18,0),"")))))</f>
        <v/>
      </c>
      <c r="L150">
        <f>IF(H150="Visitante venceu por WO",Config!$B$19,IF(H150="Mandante venceu por WO",0,IF(OR(E150="",G150=""),"",IF(G150&gt;E150,IF(E150=0,Config!$B$16,Config!$B$17),IF(E150&gt;G150,IF(G150&gt;0,Config!$B$18,0),"")))))</f>
        <v/>
      </c>
      <c r="M150">
        <f>IF(H150="Mandante venceu por WO",D150,IF(H150="Visitante venceu por WO",F150,IF(OR(E150="",G150=""),"",IF(E150&gt;G150,D150,F150))))</f>
        <v/>
      </c>
    </row>
    <row r="151">
      <c r="K151">
        <f>IF(H151="Mandante venceu por WO",Config!$B$19,IF(H151="Visitante venceu por WO",0,IF(OR(E151="",G151=""),"",IF(E151&gt;G151,IF(G151=0,Config!$B$16,Config!$B$17),IF(G151&gt;E151,IF(E151&gt;0,Config!$B$18,0),"")))))</f>
        <v/>
      </c>
      <c r="L151">
        <f>IF(H151="Visitante venceu por WO",Config!$B$19,IF(H151="Mandante venceu por WO",0,IF(OR(E151="",G151=""),"",IF(G151&gt;E151,IF(E151=0,Config!$B$16,Config!$B$17),IF(E151&gt;G151,IF(G151&gt;0,Config!$B$18,0),"")))))</f>
        <v/>
      </c>
      <c r="M151">
        <f>IF(H151="Mandante venceu por WO",D151,IF(H151="Visitante venceu por WO",F151,IF(OR(E151="",G151=""),"",IF(E151&gt;G151,D151,F151))))</f>
        <v/>
      </c>
    </row>
    <row r="152">
      <c r="K152">
        <f>IF(H152="Mandante venceu por WO",Config!$B$19,IF(H152="Visitante venceu por WO",0,IF(OR(E152="",G152=""),"",IF(E152&gt;G152,IF(G152=0,Config!$B$16,Config!$B$17),IF(G152&gt;E152,IF(E152&gt;0,Config!$B$18,0),"")))))</f>
        <v/>
      </c>
      <c r="L152">
        <f>IF(H152="Visitante venceu por WO",Config!$B$19,IF(H152="Mandante venceu por WO",0,IF(OR(E152="",G152=""),"",IF(G152&gt;E152,IF(E152=0,Config!$B$16,Config!$B$17),IF(E152&gt;G152,IF(G152&gt;0,Config!$B$18,0),"")))))</f>
        <v/>
      </c>
      <c r="M152">
        <f>IF(H152="Mandante venceu por WO",D152,IF(H152="Visitante venceu por WO",F152,IF(OR(E152="",G152=""),"",IF(E152&gt;G152,D152,F152))))</f>
        <v/>
      </c>
    </row>
    <row r="153">
      <c r="K153">
        <f>IF(H153="Mandante venceu por WO",Config!$B$19,IF(H153="Visitante venceu por WO",0,IF(OR(E153="",G153=""),"",IF(E153&gt;G153,IF(G153=0,Config!$B$16,Config!$B$17),IF(G153&gt;E153,IF(E153&gt;0,Config!$B$18,0),"")))))</f>
        <v/>
      </c>
      <c r="L153">
        <f>IF(H153="Visitante venceu por WO",Config!$B$19,IF(H153="Mandante venceu por WO",0,IF(OR(E153="",G153=""),"",IF(G153&gt;E153,IF(E153=0,Config!$B$16,Config!$B$17),IF(E153&gt;G153,IF(G153&gt;0,Config!$B$18,0),"")))))</f>
        <v/>
      </c>
      <c r="M153">
        <f>IF(H153="Mandante venceu por WO",D153,IF(H153="Visitante venceu por WO",F153,IF(OR(E153="",G153=""),"",IF(E153&gt;G153,D153,F153))))</f>
        <v/>
      </c>
    </row>
    <row r="154">
      <c r="K154">
        <f>IF(H154="Mandante venceu por WO",Config!$B$19,IF(H154="Visitante venceu por WO",0,IF(OR(E154="",G154=""),"",IF(E154&gt;G154,IF(G154=0,Config!$B$16,Config!$B$17),IF(G154&gt;E154,IF(E154&gt;0,Config!$B$18,0),"")))))</f>
        <v/>
      </c>
      <c r="L154">
        <f>IF(H154="Visitante venceu por WO",Config!$B$19,IF(H154="Mandante venceu por WO",0,IF(OR(E154="",G154=""),"",IF(G154&gt;E154,IF(E154=0,Config!$B$16,Config!$B$17),IF(E154&gt;G154,IF(G154&gt;0,Config!$B$18,0),"")))))</f>
        <v/>
      </c>
      <c r="M154">
        <f>IF(H154="Mandante venceu por WO",D154,IF(H154="Visitante venceu por WO",F154,IF(OR(E154="",G154=""),"",IF(E154&gt;G154,D154,F154))))</f>
        <v/>
      </c>
    </row>
    <row r="155">
      <c r="K155">
        <f>IF(H155="Mandante venceu por WO",Config!$B$19,IF(H155="Visitante venceu por WO",0,IF(OR(E155="",G155=""),"",IF(E155&gt;G155,IF(G155=0,Config!$B$16,Config!$B$17),IF(G155&gt;E155,IF(E155&gt;0,Config!$B$18,0),"")))))</f>
        <v/>
      </c>
      <c r="L155">
        <f>IF(H155="Visitante venceu por WO",Config!$B$19,IF(H155="Mandante venceu por WO",0,IF(OR(E155="",G155=""),"",IF(G155&gt;E155,IF(E155=0,Config!$B$16,Config!$B$17),IF(E155&gt;G155,IF(G155&gt;0,Config!$B$18,0),"")))))</f>
        <v/>
      </c>
      <c r="M155">
        <f>IF(H155="Mandante venceu por WO",D155,IF(H155="Visitante venceu por WO",F155,IF(OR(E155="",G155=""),"",IF(E155&gt;G155,D155,F155))))</f>
        <v/>
      </c>
    </row>
    <row r="156">
      <c r="K156">
        <f>IF(H156="Mandante venceu por WO",Config!$B$19,IF(H156="Visitante venceu por WO",0,IF(OR(E156="",G156=""),"",IF(E156&gt;G156,IF(G156=0,Config!$B$16,Config!$B$17),IF(G156&gt;E156,IF(E156&gt;0,Config!$B$18,0),"")))))</f>
        <v/>
      </c>
      <c r="L156">
        <f>IF(H156="Visitante venceu por WO",Config!$B$19,IF(H156="Mandante venceu por WO",0,IF(OR(E156="",G156=""),"",IF(G156&gt;E156,IF(E156=0,Config!$B$16,Config!$B$17),IF(E156&gt;G156,IF(G156&gt;0,Config!$B$18,0),"")))))</f>
        <v/>
      </c>
      <c r="M156">
        <f>IF(H156="Mandante venceu por WO",D156,IF(H156="Visitante venceu por WO",F156,IF(OR(E156="",G156=""),"",IF(E156&gt;G156,D156,F156))))</f>
        <v/>
      </c>
    </row>
    <row r="157">
      <c r="K157">
        <f>IF(H157="Mandante venceu por WO",Config!$B$19,IF(H157="Visitante venceu por WO",0,IF(OR(E157="",G157=""),"",IF(E157&gt;G157,IF(G157=0,Config!$B$16,Config!$B$17),IF(G157&gt;E157,IF(E157&gt;0,Config!$B$18,0),"")))))</f>
        <v/>
      </c>
      <c r="L157">
        <f>IF(H157="Visitante venceu por WO",Config!$B$19,IF(H157="Mandante venceu por WO",0,IF(OR(E157="",G157=""),"",IF(G157&gt;E157,IF(E157=0,Config!$B$16,Config!$B$17),IF(E157&gt;G157,IF(G157&gt;0,Config!$B$18,0),"")))))</f>
        <v/>
      </c>
      <c r="M157">
        <f>IF(H157="Mandante venceu por WO",D157,IF(H157="Visitante venceu por WO",F157,IF(OR(E157="",G157=""),"",IF(E157&gt;G157,D157,F157))))</f>
        <v/>
      </c>
    </row>
    <row r="158">
      <c r="K158">
        <f>IF(H158="Mandante venceu por WO",Config!$B$19,IF(H158="Visitante venceu por WO",0,IF(OR(E158="",G158=""),"",IF(E158&gt;G158,IF(G158=0,Config!$B$16,Config!$B$17),IF(G158&gt;E158,IF(E158&gt;0,Config!$B$18,0),"")))))</f>
        <v/>
      </c>
      <c r="L158">
        <f>IF(H158="Visitante venceu por WO",Config!$B$19,IF(H158="Mandante venceu por WO",0,IF(OR(E158="",G158=""),"",IF(G158&gt;E158,IF(E158=0,Config!$B$16,Config!$B$17),IF(E158&gt;G158,IF(G158&gt;0,Config!$B$18,0),"")))))</f>
        <v/>
      </c>
      <c r="M158">
        <f>IF(H158="Mandante venceu por WO",D158,IF(H158="Visitante venceu por WO",F158,IF(OR(E158="",G158=""),"",IF(E158&gt;G158,D158,F158))))</f>
        <v/>
      </c>
    </row>
    <row r="159">
      <c r="K159">
        <f>IF(H159="Mandante venceu por WO",Config!$B$19,IF(H159="Visitante venceu por WO",0,IF(OR(E159="",G159=""),"",IF(E159&gt;G159,IF(G159=0,Config!$B$16,Config!$B$17),IF(G159&gt;E159,IF(E159&gt;0,Config!$B$18,0),"")))))</f>
        <v/>
      </c>
      <c r="L159">
        <f>IF(H159="Visitante venceu por WO",Config!$B$19,IF(H159="Mandante venceu por WO",0,IF(OR(E159="",G159=""),"",IF(G159&gt;E159,IF(E159=0,Config!$B$16,Config!$B$17),IF(E159&gt;G159,IF(G159&gt;0,Config!$B$18,0),"")))))</f>
        <v/>
      </c>
      <c r="M159">
        <f>IF(H159="Mandante venceu por WO",D159,IF(H159="Visitante venceu por WO",F159,IF(OR(E159="",G159=""),"",IF(E159&gt;G159,D159,F159))))</f>
        <v/>
      </c>
    </row>
    <row r="160">
      <c r="K160">
        <f>IF(H160="Mandante venceu por WO",Config!$B$19,IF(H160="Visitante venceu por WO",0,IF(OR(E160="",G160=""),"",IF(E160&gt;G160,IF(G160=0,Config!$B$16,Config!$B$17),IF(G160&gt;E160,IF(E160&gt;0,Config!$B$18,0),"")))))</f>
        <v/>
      </c>
      <c r="L160">
        <f>IF(H160="Visitante venceu por WO",Config!$B$19,IF(H160="Mandante venceu por WO",0,IF(OR(E160="",G160=""),"",IF(G160&gt;E160,IF(E160=0,Config!$B$16,Config!$B$17),IF(E160&gt;G160,IF(G160&gt;0,Config!$B$18,0),"")))))</f>
        <v/>
      </c>
      <c r="M160">
        <f>IF(H160="Mandante venceu por WO",D160,IF(H160="Visitante venceu por WO",F160,IF(OR(E160="",G160=""),"",IF(E160&gt;G160,D160,F160))))</f>
        <v/>
      </c>
    </row>
    <row r="161">
      <c r="K161">
        <f>IF(H161="Mandante venceu por WO",Config!$B$19,IF(H161="Visitante venceu por WO",0,IF(OR(E161="",G161=""),"",IF(E161&gt;G161,IF(G161=0,Config!$B$16,Config!$B$17),IF(G161&gt;E161,IF(E161&gt;0,Config!$B$18,0),"")))))</f>
        <v/>
      </c>
      <c r="L161">
        <f>IF(H161="Visitante venceu por WO",Config!$B$19,IF(H161="Mandante venceu por WO",0,IF(OR(E161="",G161=""),"",IF(G161&gt;E161,IF(E161=0,Config!$B$16,Config!$B$17),IF(E161&gt;G161,IF(G161&gt;0,Config!$B$18,0),"")))))</f>
        <v/>
      </c>
      <c r="M161">
        <f>IF(H161="Mandante venceu por WO",D161,IF(H161="Visitante venceu por WO",F161,IF(OR(E161="",G161=""),"",IF(E161&gt;G161,D161,F161))))</f>
        <v/>
      </c>
    </row>
    <row r="162">
      <c r="K162">
        <f>IF(H162="Mandante venceu por WO",Config!$B$19,IF(H162="Visitante venceu por WO",0,IF(OR(E162="",G162=""),"",IF(E162&gt;G162,IF(G162=0,Config!$B$16,Config!$B$17),IF(G162&gt;E162,IF(E162&gt;0,Config!$B$18,0),"")))))</f>
        <v/>
      </c>
      <c r="L162">
        <f>IF(H162="Visitante venceu por WO",Config!$B$19,IF(H162="Mandante venceu por WO",0,IF(OR(E162="",G162=""),"",IF(G162&gt;E162,IF(E162=0,Config!$B$16,Config!$B$17),IF(E162&gt;G162,IF(G162&gt;0,Config!$B$18,0),"")))))</f>
        <v/>
      </c>
      <c r="M162">
        <f>IF(H162="Mandante venceu por WO",D162,IF(H162="Visitante venceu por WO",F162,IF(OR(E162="",G162=""),"",IF(E162&gt;G162,D162,F162))))</f>
        <v/>
      </c>
    </row>
    <row r="163">
      <c r="K163">
        <f>IF(H163="Mandante venceu por WO",Config!$B$19,IF(H163="Visitante venceu por WO",0,IF(OR(E163="",G163=""),"",IF(E163&gt;G163,IF(G163=0,Config!$B$16,Config!$B$17),IF(G163&gt;E163,IF(E163&gt;0,Config!$B$18,0),"")))))</f>
        <v/>
      </c>
      <c r="L163">
        <f>IF(H163="Visitante venceu por WO",Config!$B$19,IF(H163="Mandante venceu por WO",0,IF(OR(E163="",G163=""),"",IF(G163&gt;E163,IF(E163=0,Config!$B$16,Config!$B$17),IF(E163&gt;G163,IF(G163&gt;0,Config!$B$18,0),"")))))</f>
        <v/>
      </c>
      <c r="M163">
        <f>IF(H163="Mandante venceu por WO",D163,IF(H163="Visitante venceu por WO",F163,IF(OR(E163="",G163=""),"",IF(E163&gt;G163,D163,F163))))</f>
        <v/>
      </c>
    </row>
    <row r="164">
      <c r="K164">
        <f>IF(H164="Mandante venceu por WO",Config!$B$19,IF(H164="Visitante venceu por WO",0,IF(OR(E164="",G164=""),"",IF(E164&gt;G164,IF(G164=0,Config!$B$16,Config!$B$17),IF(G164&gt;E164,IF(E164&gt;0,Config!$B$18,0),"")))))</f>
        <v/>
      </c>
      <c r="L164">
        <f>IF(H164="Visitante venceu por WO",Config!$B$19,IF(H164="Mandante venceu por WO",0,IF(OR(E164="",G164=""),"",IF(G164&gt;E164,IF(E164=0,Config!$B$16,Config!$B$17),IF(E164&gt;G164,IF(G164&gt;0,Config!$B$18,0),"")))))</f>
        <v/>
      </c>
      <c r="M164">
        <f>IF(H164="Mandante venceu por WO",D164,IF(H164="Visitante venceu por WO",F164,IF(OR(E164="",G164=""),"",IF(E164&gt;G164,D164,F164))))</f>
        <v/>
      </c>
    </row>
    <row r="165">
      <c r="K165">
        <f>IF(H165="Mandante venceu por WO",Config!$B$19,IF(H165="Visitante venceu por WO",0,IF(OR(E165="",G165=""),"",IF(E165&gt;G165,IF(G165=0,Config!$B$16,Config!$B$17),IF(G165&gt;E165,IF(E165&gt;0,Config!$B$18,0),"")))))</f>
        <v/>
      </c>
      <c r="L165">
        <f>IF(H165="Visitante venceu por WO",Config!$B$19,IF(H165="Mandante venceu por WO",0,IF(OR(E165="",G165=""),"",IF(G165&gt;E165,IF(E165=0,Config!$B$16,Config!$B$17),IF(E165&gt;G165,IF(G165&gt;0,Config!$B$18,0),"")))))</f>
        <v/>
      </c>
      <c r="M165">
        <f>IF(H165="Mandante venceu por WO",D165,IF(H165="Visitante venceu por WO",F165,IF(OR(E165="",G165=""),"",IF(E165&gt;G165,D165,F165))))</f>
        <v/>
      </c>
    </row>
    <row r="166">
      <c r="K166">
        <f>IF(H166="Mandante venceu por WO",Config!$B$19,IF(H166="Visitante venceu por WO",0,IF(OR(E166="",G166=""),"",IF(E166&gt;G166,IF(G166=0,Config!$B$16,Config!$B$17),IF(G166&gt;E166,IF(E166&gt;0,Config!$B$18,0),"")))))</f>
        <v/>
      </c>
      <c r="L166">
        <f>IF(H166="Visitante venceu por WO",Config!$B$19,IF(H166="Mandante venceu por WO",0,IF(OR(E166="",G166=""),"",IF(G166&gt;E166,IF(E166=0,Config!$B$16,Config!$B$17),IF(E166&gt;G166,IF(G166&gt;0,Config!$B$18,0),"")))))</f>
        <v/>
      </c>
      <c r="M166">
        <f>IF(H166="Mandante venceu por WO",D166,IF(H166="Visitante venceu por WO",F166,IF(OR(E166="",G166=""),"",IF(E166&gt;G166,D166,F166))))</f>
        <v/>
      </c>
    </row>
    <row r="167">
      <c r="K167">
        <f>IF(H167="Mandante venceu por WO",Config!$B$19,IF(H167="Visitante venceu por WO",0,IF(OR(E167="",G167=""),"",IF(E167&gt;G167,IF(G167=0,Config!$B$16,Config!$B$17),IF(G167&gt;E167,IF(E167&gt;0,Config!$B$18,0),"")))))</f>
        <v/>
      </c>
      <c r="L167">
        <f>IF(H167="Visitante venceu por WO",Config!$B$19,IF(H167="Mandante venceu por WO",0,IF(OR(E167="",G167=""),"",IF(G167&gt;E167,IF(E167=0,Config!$B$16,Config!$B$17),IF(E167&gt;G167,IF(G167&gt;0,Config!$B$18,0),"")))))</f>
        <v/>
      </c>
      <c r="M167">
        <f>IF(H167="Mandante venceu por WO",D167,IF(H167="Visitante venceu por WO",F167,IF(OR(E167="",G167=""),"",IF(E167&gt;G167,D167,F167))))</f>
        <v/>
      </c>
    </row>
    <row r="168">
      <c r="K168">
        <f>IF(H168="Mandante venceu por WO",Config!$B$19,IF(H168="Visitante venceu por WO",0,IF(OR(E168="",G168=""),"",IF(E168&gt;G168,IF(G168=0,Config!$B$16,Config!$B$17),IF(G168&gt;E168,IF(E168&gt;0,Config!$B$18,0),"")))))</f>
        <v/>
      </c>
      <c r="L168">
        <f>IF(H168="Visitante venceu por WO",Config!$B$19,IF(H168="Mandante venceu por WO",0,IF(OR(E168="",G168=""),"",IF(G168&gt;E168,IF(E168=0,Config!$B$16,Config!$B$17),IF(E168&gt;G168,IF(G168&gt;0,Config!$B$18,0),"")))))</f>
        <v/>
      </c>
      <c r="M168">
        <f>IF(H168="Mandante venceu por WO",D168,IF(H168="Visitante venceu por WO",F168,IF(OR(E168="",G168=""),"",IF(E168&gt;G168,D168,F168))))</f>
        <v/>
      </c>
    </row>
    <row r="169">
      <c r="K169">
        <f>IF(H169="Mandante venceu por WO",Config!$B$19,IF(H169="Visitante venceu por WO",0,IF(OR(E169="",G169=""),"",IF(E169&gt;G169,IF(G169=0,Config!$B$16,Config!$B$17),IF(G169&gt;E169,IF(E169&gt;0,Config!$B$18,0),"")))))</f>
        <v/>
      </c>
      <c r="L169">
        <f>IF(H169="Visitante venceu por WO",Config!$B$19,IF(H169="Mandante venceu por WO",0,IF(OR(E169="",G169=""),"",IF(G169&gt;E169,IF(E169=0,Config!$B$16,Config!$B$17),IF(E169&gt;G169,IF(G169&gt;0,Config!$B$18,0),"")))))</f>
        <v/>
      </c>
      <c r="M169">
        <f>IF(H169="Mandante venceu por WO",D169,IF(H169="Visitante venceu por WO",F169,IF(OR(E169="",G169=""),"",IF(E169&gt;G169,D169,F169))))</f>
        <v/>
      </c>
    </row>
    <row r="170">
      <c r="K170">
        <f>IF(H170="Mandante venceu por WO",Config!$B$19,IF(H170="Visitante venceu por WO",0,IF(OR(E170="",G170=""),"",IF(E170&gt;G170,IF(G170=0,Config!$B$16,Config!$B$17),IF(G170&gt;E170,IF(E170&gt;0,Config!$B$18,0),"")))))</f>
        <v/>
      </c>
      <c r="L170">
        <f>IF(H170="Visitante venceu por WO",Config!$B$19,IF(H170="Mandante venceu por WO",0,IF(OR(E170="",G170=""),"",IF(G170&gt;E170,IF(E170=0,Config!$B$16,Config!$B$17),IF(E170&gt;G170,IF(G170&gt;0,Config!$B$18,0),"")))))</f>
        <v/>
      </c>
      <c r="M170">
        <f>IF(H170="Mandante venceu por WO",D170,IF(H170="Visitante venceu por WO",F170,IF(OR(E170="",G170=""),"",IF(E170&gt;G170,D170,F170))))</f>
        <v/>
      </c>
    </row>
    <row r="171">
      <c r="K171">
        <f>IF(H171="Mandante venceu por WO",Config!$B$19,IF(H171="Visitante venceu por WO",0,IF(OR(E171="",G171=""),"",IF(E171&gt;G171,IF(G171=0,Config!$B$16,Config!$B$17),IF(G171&gt;E171,IF(E171&gt;0,Config!$B$18,0),"")))))</f>
        <v/>
      </c>
      <c r="L171">
        <f>IF(H171="Visitante venceu por WO",Config!$B$19,IF(H171="Mandante venceu por WO",0,IF(OR(E171="",G171=""),"",IF(G171&gt;E171,IF(E171=0,Config!$B$16,Config!$B$17),IF(E171&gt;G171,IF(G171&gt;0,Config!$B$18,0),"")))))</f>
        <v/>
      </c>
      <c r="M171">
        <f>IF(H171="Mandante venceu por WO",D171,IF(H171="Visitante venceu por WO",F171,IF(OR(E171="",G171=""),"",IF(E171&gt;G171,D171,F171))))</f>
        <v/>
      </c>
    </row>
    <row r="172">
      <c r="K172">
        <f>IF(H172="Mandante venceu por WO",Config!$B$19,IF(H172="Visitante venceu por WO",0,IF(OR(E172="",G172=""),"",IF(E172&gt;G172,IF(G172=0,Config!$B$16,Config!$B$17),IF(G172&gt;E172,IF(E172&gt;0,Config!$B$18,0),"")))))</f>
        <v/>
      </c>
      <c r="L172">
        <f>IF(H172="Visitante venceu por WO",Config!$B$19,IF(H172="Mandante venceu por WO",0,IF(OR(E172="",G172=""),"",IF(G172&gt;E172,IF(E172=0,Config!$B$16,Config!$B$17),IF(E172&gt;G172,IF(G172&gt;0,Config!$B$18,0),"")))))</f>
        <v/>
      </c>
      <c r="M172">
        <f>IF(H172="Mandante venceu por WO",D172,IF(H172="Visitante venceu por WO",F172,IF(OR(E172="",G172=""),"",IF(E172&gt;G172,D172,F172))))</f>
        <v/>
      </c>
    </row>
    <row r="173">
      <c r="K173">
        <f>IF(H173="Mandante venceu por WO",Config!$B$19,IF(H173="Visitante venceu por WO",0,IF(OR(E173="",G173=""),"",IF(E173&gt;G173,IF(G173=0,Config!$B$16,Config!$B$17),IF(G173&gt;E173,IF(E173&gt;0,Config!$B$18,0),"")))))</f>
        <v/>
      </c>
      <c r="L173">
        <f>IF(H173="Visitante venceu por WO",Config!$B$19,IF(H173="Mandante venceu por WO",0,IF(OR(E173="",G173=""),"",IF(G173&gt;E173,IF(E173=0,Config!$B$16,Config!$B$17),IF(E173&gt;G173,IF(G173&gt;0,Config!$B$18,0),"")))))</f>
        <v/>
      </c>
      <c r="M173">
        <f>IF(H173="Mandante venceu por WO",D173,IF(H173="Visitante venceu por WO",F173,IF(OR(E173="",G173=""),"",IF(E173&gt;G173,D173,F173))))</f>
        <v/>
      </c>
    </row>
    <row r="174">
      <c r="K174">
        <f>IF(H174="Mandante venceu por WO",Config!$B$19,IF(H174="Visitante venceu por WO",0,IF(OR(E174="",G174=""),"",IF(E174&gt;G174,IF(G174=0,Config!$B$16,Config!$B$17),IF(G174&gt;E174,IF(E174&gt;0,Config!$B$18,0),"")))))</f>
        <v/>
      </c>
      <c r="L174">
        <f>IF(H174="Visitante venceu por WO",Config!$B$19,IF(H174="Mandante venceu por WO",0,IF(OR(E174="",G174=""),"",IF(G174&gt;E174,IF(E174=0,Config!$B$16,Config!$B$17),IF(E174&gt;G174,IF(G174&gt;0,Config!$B$18,0),"")))))</f>
        <v/>
      </c>
      <c r="M174">
        <f>IF(H174="Mandante venceu por WO",D174,IF(H174="Visitante venceu por WO",F174,IF(OR(E174="",G174=""),"",IF(E174&gt;G174,D174,F174))))</f>
        <v/>
      </c>
    </row>
    <row r="175">
      <c r="K175">
        <f>IF(H175="Mandante venceu por WO",Config!$B$19,IF(H175="Visitante venceu por WO",0,IF(OR(E175="",G175=""),"",IF(E175&gt;G175,IF(G175=0,Config!$B$16,Config!$B$17),IF(G175&gt;E175,IF(E175&gt;0,Config!$B$18,0),"")))))</f>
        <v/>
      </c>
      <c r="L175">
        <f>IF(H175="Visitante venceu por WO",Config!$B$19,IF(H175="Mandante venceu por WO",0,IF(OR(E175="",G175=""),"",IF(G175&gt;E175,IF(E175=0,Config!$B$16,Config!$B$17),IF(E175&gt;G175,IF(G175&gt;0,Config!$B$18,0),"")))))</f>
        <v/>
      </c>
      <c r="M175">
        <f>IF(H175="Mandante venceu por WO",D175,IF(H175="Visitante venceu por WO",F175,IF(OR(E175="",G175=""),"",IF(E175&gt;G175,D175,F175))))</f>
        <v/>
      </c>
    </row>
    <row r="176">
      <c r="K176">
        <f>IF(H176="Mandante venceu por WO",Config!$B$19,IF(H176="Visitante venceu por WO",0,IF(OR(E176="",G176=""),"",IF(E176&gt;G176,IF(G176=0,Config!$B$16,Config!$B$17),IF(G176&gt;E176,IF(E176&gt;0,Config!$B$18,0),"")))))</f>
        <v/>
      </c>
      <c r="L176">
        <f>IF(H176="Visitante venceu por WO",Config!$B$19,IF(H176="Mandante venceu por WO",0,IF(OR(E176="",G176=""),"",IF(G176&gt;E176,IF(E176=0,Config!$B$16,Config!$B$17),IF(E176&gt;G176,IF(G176&gt;0,Config!$B$18,0),"")))))</f>
        <v/>
      </c>
      <c r="M176">
        <f>IF(H176="Mandante venceu por WO",D176,IF(H176="Visitante venceu por WO",F176,IF(OR(E176="",G176=""),"",IF(E176&gt;G176,D176,F176))))</f>
        <v/>
      </c>
    </row>
    <row r="177">
      <c r="K177">
        <f>IF(H177="Mandante venceu por WO",Config!$B$19,IF(H177="Visitante venceu por WO",0,IF(OR(E177="",G177=""),"",IF(E177&gt;G177,IF(G177=0,Config!$B$16,Config!$B$17),IF(G177&gt;E177,IF(E177&gt;0,Config!$B$18,0),"")))))</f>
        <v/>
      </c>
      <c r="L177">
        <f>IF(H177="Visitante venceu por WO",Config!$B$19,IF(H177="Mandante venceu por WO",0,IF(OR(E177="",G177=""),"",IF(G177&gt;E177,IF(E177=0,Config!$B$16,Config!$B$17),IF(E177&gt;G177,IF(G177&gt;0,Config!$B$18,0),"")))))</f>
        <v/>
      </c>
      <c r="M177">
        <f>IF(H177="Mandante venceu por WO",D177,IF(H177="Visitante venceu por WO",F177,IF(OR(E177="",G177=""),"",IF(E177&gt;G177,D177,F177))))</f>
        <v/>
      </c>
    </row>
    <row r="178">
      <c r="K178">
        <f>IF(H178="Mandante venceu por WO",Config!$B$19,IF(H178="Visitante venceu por WO",0,IF(OR(E178="",G178=""),"",IF(E178&gt;G178,IF(G178=0,Config!$B$16,Config!$B$17),IF(G178&gt;E178,IF(E178&gt;0,Config!$B$18,0),"")))))</f>
        <v/>
      </c>
      <c r="L178">
        <f>IF(H178="Visitante venceu por WO",Config!$B$19,IF(H178="Mandante venceu por WO",0,IF(OR(E178="",G178=""),"",IF(G178&gt;E178,IF(E178=0,Config!$B$16,Config!$B$17),IF(E178&gt;G178,IF(G178&gt;0,Config!$B$18,0),"")))))</f>
        <v/>
      </c>
      <c r="M178">
        <f>IF(H178="Mandante venceu por WO",D178,IF(H178="Visitante venceu por WO",F178,IF(OR(E178="",G178=""),"",IF(E178&gt;G178,D178,F178))))</f>
        <v/>
      </c>
    </row>
    <row r="179">
      <c r="K179">
        <f>IF(H179="Mandante venceu por WO",Config!$B$19,IF(H179="Visitante venceu por WO",0,IF(OR(E179="",G179=""),"",IF(E179&gt;G179,IF(G179=0,Config!$B$16,Config!$B$17),IF(G179&gt;E179,IF(E179&gt;0,Config!$B$18,0),"")))))</f>
        <v/>
      </c>
      <c r="L179">
        <f>IF(H179="Visitante venceu por WO",Config!$B$19,IF(H179="Mandante venceu por WO",0,IF(OR(E179="",G179=""),"",IF(G179&gt;E179,IF(E179=0,Config!$B$16,Config!$B$17),IF(E179&gt;G179,IF(G179&gt;0,Config!$B$18,0),"")))))</f>
        <v/>
      </c>
      <c r="M179">
        <f>IF(H179="Mandante venceu por WO",D179,IF(H179="Visitante venceu por WO",F179,IF(OR(E179="",G179=""),"",IF(E179&gt;G179,D179,F179))))</f>
        <v/>
      </c>
    </row>
    <row r="180">
      <c r="K180">
        <f>IF(H180="Mandante venceu por WO",Config!$B$19,IF(H180="Visitante venceu por WO",0,IF(OR(E180="",G180=""),"",IF(E180&gt;G180,IF(G180=0,Config!$B$16,Config!$B$17),IF(G180&gt;E180,IF(E180&gt;0,Config!$B$18,0),"")))))</f>
        <v/>
      </c>
      <c r="L180">
        <f>IF(H180="Visitante venceu por WO",Config!$B$19,IF(H180="Mandante venceu por WO",0,IF(OR(E180="",G180=""),"",IF(G180&gt;E180,IF(E180=0,Config!$B$16,Config!$B$17),IF(E180&gt;G180,IF(G180&gt;0,Config!$B$18,0),"")))))</f>
        <v/>
      </c>
      <c r="M180">
        <f>IF(H180="Mandante venceu por WO",D180,IF(H180="Visitante venceu por WO",F180,IF(OR(E180="",G180=""),"",IF(E180&gt;G180,D180,F180))))</f>
        <v/>
      </c>
    </row>
    <row r="181">
      <c r="K181">
        <f>IF(H181="Mandante venceu por WO",Config!$B$19,IF(H181="Visitante venceu por WO",0,IF(OR(E181="",G181=""),"",IF(E181&gt;G181,IF(G181=0,Config!$B$16,Config!$B$17),IF(G181&gt;E181,IF(E181&gt;0,Config!$B$18,0),"")))))</f>
        <v/>
      </c>
      <c r="L181">
        <f>IF(H181="Visitante venceu por WO",Config!$B$19,IF(H181="Mandante venceu por WO",0,IF(OR(E181="",G181=""),"",IF(G181&gt;E181,IF(E181=0,Config!$B$16,Config!$B$17),IF(E181&gt;G181,IF(G181&gt;0,Config!$B$18,0),"")))))</f>
        <v/>
      </c>
      <c r="M181">
        <f>IF(H181="Mandante venceu por WO",D181,IF(H181="Visitante venceu por WO",F181,IF(OR(E181="",G181=""),"",IF(E181&gt;G181,D181,F181))))</f>
        <v/>
      </c>
    </row>
    <row r="182">
      <c r="K182">
        <f>IF(H182="Mandante venceu por WO",Config!$B$19,IF(H182="Visitante venceu por WO",0,IF(OR(E182="",G182=""),"",IF(E182&gt;G182,IF(G182=0,Config!$B$16,Config!$B$17),IF(G182&gt;E182,IF(E182&gt;0,Config!$B$18,0),"")))))</f>
        <v/>
      </c>
      <c r="L182">
        <f>IF(H182="Visitante venceu por WO",Config!$B$19,IF(H182="Mandante venceu por WO",0,IF(OR(E182="",G182=""),"",IF(G182&gt;E182,IF(E182=0,Config!$B$16,Config!$B$17),IF(E182&gt;G182,IF(G182&gt;0,Config!$B$18,0),"")))))</f>
        <v/>
      </c>
      <c r="M182">
        <f>IF(H182="Mandante venceu por WO",D182,IF(H182="Visitante venceu por WO",F182,IF(OR(E182="",G182=""),"",IF(E182&gt;G182,D182,F182))))</f>
        <v/>
      </c>
    </row>
    <row r="183">
      <c r="K183">
        <f>IF(H183="Mandante venceu por WO",Config!$B$19,IF(H183="Visitante venceu por WO",0,IF(OR(E183="",G183=""),"",IF(E183&gt;G183,IF(G183=0,Config!$B$16,Config!$B$17),IF(G183&gt;E183,IF(E183&gt;0,Config!$B$18,0),"")))))</f>
        <v/>
      </c>
      <c r="L183">
        <f>IF(H183="Visitante venceu por WO",Config!$B$19,IF(H183="Mandante venceu por WO",0,IF(OR(E183="",G183=""),"",IF(G183&gt;E183,IF(E183=0,Config!$B$16,Config!$B$17),IF(E183&gt;G183,IF(G183&gt;0,Config!$B$18,0),"")))))</f>
        <v/>
      </c>
      <c r="M183">
        <f>IF(H183="Mandante venceu por WO",D183,IF(H183="Visitante venceu por WO",F183,IF(OR(E183="",G183=""),"",IF(E183&gt;G183,D183,F183))))</f>
        <v/>
      </c>
    </row>
    <row r="184">
      <c r="K184">
        <f>IF(H184="Mandante venceu por WO",Config!$B$19,IF(H184="Visitante venceu por WO",0,IF(OR(E184="",G184=""),"",IF(E184&gt;G184,IF(G184=0,Config!$B$16,Config!$B$17),IF(G184&gt;E184,IF(E184&gt;0,Config!$B$18,0),"")))))</f>
        <v/>
      </c>
      <c r="L184">
        <f>IF(H184="Visitante venceu por WO",Config!$B$19,IF(H184="Mandante venceu por WO",0,IF(OR(E184="",G184=""),"",IF(G184&gt;E184,IF(E184=0,Config!$B$16,Config!$B$17),IF(E184&gt;G184,IF(G184&gt;0,Config!$B$18,0),"")))))</f>
        <v/>
      </c>
      <c r="M184">
        <f>IF(H184="Mandante venceu por WO",D184,IF(H184="Visitante venceu por WO",F184,IF(OR(E184="",G184=""),"",IF(E184&gt;G184,D184,F184))))</f>
        <v/>
      </c>
    </row>
    <row r="185">
      <c r="K185">
        <f>IF(H185="Mandante venceu por WO",Config!$B$19,IF(H185="Visitante venceu por WO",0,IF(OR(E185="",G185=""),"",IF(E185&gt;G185,IF(G185=0,Config!$B$16,Config!$B$17),IF(G185&gt;E185,IF(E185&gt;0,Config!$B$18,0),"")))))</f>
        <v/>
      </c>
      <c r="L185">
        <f>IF(H185="Visitante venceu por WO",Config!$B$19,IF(H185="Mandante venceu por WO",0,IF(OR(E185="",G185=""),"",IF(G185&gt;E185,IF(E185=0,Config!$B$16,Config!$B$17),IF(E185&gt;G185,IF(G185&gt;0,Config!$B$18,0),"")))))</f>
        <v/>
      </c>
      <c r="M185">
        <f>IF(H185="Mandante venceu por WO",D185,IF(H185="Visitante venceu por WO",F185,IF(OR(E185="",G185=""),"",IF(E185&gt;G185,D185,F185))))</f>
        <v/>
      </c>
    </row>
    <row r="186">
      <c r="K186">
        <f>IF(H186="Mandante venceu por WO",Config!$B$19,IF(H186="Visitante venceu por WO",0,IF(OR(E186="",G186=""),"",IF(E186&gt;G186,IF(G186=0,Config!$B$16,Config!$B$17),IF(G186&gt;E186,IF(E186&gt;0,Config!$B$18,0),"")))))</f>
        <v/>
      </c>
      <c r="L186">
        <f>IF(H186="Visitante venceu por WO",Config!$B$19,IF(H186="Mandante venceu por WO",0,IF(OR(E186="",G186=""),"",IF(G186&gt;E186,IF(E186=0,Config!$B$16,Config!$B$17),IF(E186&gt;G186,IF(G186&gt;0,Config!$B$18,0),"")))))</f>
        <v/>
      </c>
      <c r="M186">
        <f>IF(H186="Mandante venceu por WO",D186,IF(H186="Visitante venceu por WO",F186,IF(OR(E186="",G186=""),"",IF(E186&gt;G186,D186,F186))))</f>
        <v/>
      </c>
    </row>
    <row r="187">
      <c r="K187">
        <f>IF(H187="Mandante venceu por WO",Config!$B$19,IF(H187="Visitante venceu por WO",0,IF(OR(E187="",G187=""),"",IF(E187&gt;G187,IF(G187=0,Config!$B$16,Config!$B$17),IF(G187&gt;E187,IF(E187&gt;0,Config!$B$18,0),"")))))</f>
        <v/>
      </c>
      <c r="L187">
        <f>IF(H187="Visitante venceu por WO",Config!$B$19,IF(H187="Mandante venceu por WO",0,IF(OR(E187="",G187=""),"",IF(G187&gt;E187,IF(E187=0,Config!$B$16,Config!$B$17),IF(E187&gt;G187,IF(G187&gt;0,Config!$B$18,0),"")))))</f>
        <v/>
      </c>
      <c r="M187">
        <f>IF(H187="Mandante venceu por WO",D187,IF(H187="Visitante venceu por WO",F187,IF(OR(E187="",G187=""),"",IF(E187&gt;G187,D187,F187))))</f>
        <v/>
      </c>
    </row>
    <row r="188">
      <c r="K188">
        <f>IF(H188="Mandante venceu por WO",Config!$B$19,IF(H188="Visitante venceu por WO",0,IF(OR(E188="",G188=""),"",IF(E188&gt;G188,IF(G188=0,Config!$B$16,Config!$B$17),IF(G188&gt;E188,IF(E188&gt;0,Config!$B$18,0),"")))))</f>
        <v/>
      </c>
      <c r="L188">
        <f>IF(H188="Visitante venceu por WO",Config!$B$19,IF(H188="Mandante venceu por WO",0,IF(OR(E188="",G188=""),"",IF(G188&gt;E188,IF(E188=0,Config!$B$16,Config!$B$17),IF(E188&gt;G188,IF(G188&gt;0,Config!$B$18,0),"")))))</f>
        <v/>
      </c>
      <c r="M188">
        <f>IF(H188="Mandante venceu por WO",D188,IF(H188="Visitante venceu por WO",F188,IF(OR(E188="",G188=""),"",IF(E188&gt;G188,D188,F188))))</f>
        <v/>
      </c>
    </row>
    <row r="189">
      <c r="K189">
        <f>IF(H189="Mandante venceu por WO",Config!$B$19,IF(H189="Visitante venceu por WO",0,IF(OR(E189="",G189=""),"",IF(E189&gt;G189,IF(G189=0,Config!$B$16,Config!$B$17),IF(G189&gt;E189,IF(E189&gt;0,Config!$B$18,0),"")))))</f>
        <v/>
      </c>
      <c r="L189">
        <f>IF(H189="Visitante venceu por WO",Config!$B$19,IF(H189="Mandante venceu por WO",0,IF(OR(E189="",G189=""),"",IF(G189&gt;E189,IF(E189=0,Config!$B$16,Config!$B$17),IF(E189&gt;G189,IF(G189&gt;0,Config!$B$18,0),"")))))</f>
        <v/>
      </c>
      <c r="M189">
        <f>IF(H189="Mandante venceu por WO",D189,IF(H189="Visitante venceu por WO",F189,IF(OR(E189="",G189=""),"",IF(E189&gt;G189,D189,F189))))</f>
        <v/>
      </c>
    </row>
    <row r="190">
      <c r="K190">
        <f>IF(H190="Mandante venceu por WO",Config!$B$19,IF(H190="Visitante venceu por WO",0,IF(OR(E190="",G190=""),"",IF(E190&gt;G190,IF(G190=0,Config!$B$16,Config!$B$17),IF(G190&gt;E190,IF(E190&gt;0,Config!$B$18,0),"")))))</f>
        <v/>
      </c>
      <c r="L190">
        <f>IF(H190="Visitante venceu por WO",Config!$B$19,IF(H190="Mandante venceu por WO",0,IF(OR(E190="",G190=""),"",IF(G190&gt;E190,IF(E190=0,Config!$B$16,Config!$B$17),IF(E190&gt;G190,IF(G190&gt;0,Config!$B$18,0),"")))))</f>
        <v/>
      </c>
      <c r="M190">
        <f>IF(H190="Mandante venceu por WO",D190,IF(H190="Visitante venceu por WO",F190,IF(OR(E190="",G190=""),"",IF(E190&gt;G190,D190,F190))))</f>
        <v/>
      </c>
    </row>
    <row r="191">
      <c r="K191">
        <f>IF(H191="Mandante venceu por WO",Config!$B$19,IF(H191="Visitante venceu por WO",0,IF(OR(E191="",G191=""),"",IF(E191&gt;G191,IF(G191=0,Config!$B$16,Config!$B$17),IF(G191&gt;E191,IF(E191&gt;0,Config!$B$18,0),"")))))</f>
        <v/>
      </c>
      <c r="L191">
        <f>IF(H191="Visitante venceu por WO",Config!$B$19,IF(H191="Mandante venceu por WO",0,IF(OR(E191="",G191=""),"",IF(G191&gt;E191,IF(E191=0,Config!$B$16,Config!$B$17),IF(E191&gt;G191,IF(G191&gt;0,Config!$B$18,0),"")))))</f>
        <v/>
      </c>
      <c r="M191">
        <f>IF(H191="Mandante venceu por WO",D191,IF(H191="Visitante venceu por WO",F191,IF(OR(E191="",G191=""),"",IF(E191&gt;G191,D191,F191))))</f>
        <v/>
      </c>
    </row>
    <row r="192">
      <c r="K192">
        <f>IF(H192="Mandante venceu por WO",Config!$B$19,IF(H192="Visitante venceu por WO",0,IF(OR(E192="",G192=""),"",IF(E192&gt;G192,IF(G192=0,Config!$B$16,Config!$B$17),IF(G192&gt;E192,IF(E192&gt;0,Config!$B$18,0),"")))))</f>
        <v/>
      </c>
      <c r="L192">
        <f>IF(H192="Visitante venceu por WO",Config!$B$19,IF(H192="Mandante venceu por WO",0,IF(OR(E192="",G192=""),"",IF(G192&gt;E192,IF(E192=0,Config!$B$16,Config!$B$17),IF(E192&gt;G192,IF(G192&gt;0,Config!$B$18,0),"")))))</f>
        <v/>
      </c>
      <c r="M192">
        <f>IF(H192="Mandante venceu por WO",D192,IF(H192="Visitante venceu por WO",F192,IF(OR(E192="",G192=""),"",IF(E192&gt;G192,D192,F192))))</f>
        <v/>
      </c>
    </row>
    <row r="193">
      <c r="K193">
        <f>IF(H193="Mandante venceu por WO",Config!$B$19,IF(H193="Visitante venceu por WO",0,IF(OR(E193="",G193=""),"",IF(E193&gt;G193,IF(G193=0,Config!$B$16,Config!$B$17),IF(G193&gt;E193,IF(E193&gt;0,Config!$B$18,0),"")))))</f>
        <v/>
      </c>
      <c r="L193">
        <f>IF(H193="Visitante venceu por WO",Config!$B$19,IF(H193="Mandante venceu por WO",0,IF(OR(E193="",G193=""),"",IF(G193&gt;E193,IF(E193=0,Config!$B$16,Config!$B$17),IF(E193&gt;G193,IF(G193&gt;0,Config!$B$18,0),"")))))</f>
        <v/>
      </c>
      <c r="M193">
        <f>IF(H193="Mandante venceu por WO",D193,IF(H193="Visitante venceu por WO",F193,IF(OR(E193="",G193=""),"",IF(E193&gt;G193,D193,F193))))</f>
        <v/>
      </c>
    </row>
    <row r="194">
      <c r="K194">
        <f>IF(H194="Mandante venceu por WO",Config!$B$19,IF(H194="Visitante venceu por WO",0,IF(OR(E194="",G194=""),"",IF(E194&gt;G194,IF(G194=0,Config!$B$16,Config!$B$17),IF(G194&gt;E194,IF(E194&gt;0,Config!$B$18,0),"")))))</f>
        <v/>
      </c>
      <c r="L194">
        <f>IF(H194="Visitante venceu por WO",Config!$B$19,IF(H194="Mandante venceu por WO",0,IF(OR(E194="",G194=""),"",IF(G194&gt;E194,IF(E194=0,Config!$B$16,Config!$B$17),IF(E194&gt;G194,IF(G194&gt;0,Config!$B$18,0),"")))))</f>
        <v/>
      </c>
      <c r="M194">
        <f>IF(H194="Mandante venceu por WO",D194,IF(H194="Visitante venceu por WO",F194,IF(OR(E194="",G194=""),"",IF(E194&gt;G194,D194,F194))))</f>
        <v/>
      </c>
    </row>
    <row r="195">
      <c r="K195">
        <f>IF(H195="Mandante venceu por WO",Config!$B$19,IF(H195="Visitante venceu por WO",0,IF(OR(E195="",G195=""),"",IF(E195&gt;G195,IF(G195=0,Config!$B$16,Config!$B$17),IF(G195&gt;E195,IF(E195&gt;0,Config!$B$18,0),"")))))</f>
        <v/>
      </c>
      <c r="L195">
        <f>IF(H195="Visitante venceu por WO",Config!$B$19,IF(H195="Mandante venceu por WO",0,IF(OR(E195="",G195=""),"",IF(G195&gt;E195,IF(E195=0,Config!$B$16,Config!$B$17),IF(E195&gt;G195,IF(G195&gt;0,Config!$B$18,0),"")))))</f>
        <v/>
      </c>
      <c r="M195">
        <f>IF(H195="Mandante venceu por WO",D195,IF(H195="Visitante venceu por WO",F195,IF(OR(E195="",G195=""),"",IF(E195&gt;G195,D195,F195))))</f>
        <v/>
      </c>
    </row>
    <row r="196">
      <c r="K196">
        <f>IF(H196="Mandante venceu por WO",Config!$B$19,IF(H196="Visitante venceu por WO",0,IF(OR(E196="",G196=""),"",IF(E196&gt;G196,IF(G196=0,Config!$B$16,Config!$B$17),IF(G196&gt;E196,IF(E196&gt;0,Config!$B$18,0),"")))))</f>
        <v/>
      </c>
      <c r="L196">
        <f>IF(H196="Visitante venceu por WO",Config!$B$19,IF(H196="Mandante venceu por WO",0,IF(OR(E196="",G196=""),"",IF(G196&gt;E196,IF(E196=0,Config!$B$16,Config!$B$17),IF(E196&gt;G196,IF(G196&gt;0,Config!$B$18,0),"")))))</f>
        <v/>
      </c>
      <c r="M196">
        <f>IF(H196="Mandante venceu por WO",D196,IF(H196="Visitante venceu por WO",F196,IF(OR(E196="",G196=""),"",IF(E196&gt;G196,D196,F196))))</f>
        <v/>
      </c>
    </row>
    <row r="197">
      <c r="K197">
        <f>IF(H197="Mandante venceu por WO",Config!$B$19,IF(H197="Visitante venceu por WO",0,IF(OR(E197="",G197=""),"",IF(E197&gt;G197,IF(G197=0,Config!$B$16,Config!$B$17),IF(G197&gt;E197,IF(E197&gt;0,Config!$B$18,0),"")))))</f>
        <v/>
      </c>
      <c r="L197">
        <f>IF(H197="Visitante venceu por WO",Config!$B$19,IF(H197="Mandante venceu por WO",0,IF(OR(E197="",G197=""),"",IF(G197&gt;E197,IF(E197=0,Config!$B$16,Config!$B$17),IF(E197&gt;G197,IF(G197&gt;0,Config!$B$18,0),"")))))</f>
        <v/>
      </c>
      <c r="M197">
        <f>IF(H197="Mandante venceu por WO",D197,IF(H197="Visitante venceu por WO",F197,IF(OR(E197="",G197=""),"",IF(E197&gt;G197,D197,F197))))</f>
        <v/>
      </c>
    </row>
    <row r="198">
      <c r="K198">
        <f>IF(H198="Mandante venceu por WO",Config!$B$19,IF(H198="Visitante venceu por WO",0,IF(OR(E198="",G198=""),"",IF(E198&gt;G198,IF(G198=0,Config!$B$16,Config!$B$17),IF(G198&gt;E198,IF(E198&gt;0,Config!$B$18,0),"")))))</f>
        <v/>
      </c>
      <c r="L198">
        <f>IF(H198="Visitante venceu por WO",Config!$B$19,IF(H198="Mandante venceu por WO",0,IF(OR(E198="",G198=""),"",IF(G198&gt;E198,IF(E198=0,Config!$B$16,Config!$B$17),IF(E198&gt;G198,IF(G198&gt;0,Config!$B$18,0),"")))))</f>
        <v/>
      </c>
      <c r="M198">
        <f>IF(H198="Mandante venceu por WO",D198,IF(H198="Visitante venceu por WO",F198,IF(OR(E198="",G198=""),"",IF(E198&gt;G198,D198,F198))))</f>
        <v/>
      </c>
    </row>
    <row r="199">
      <c r="K199">
        <f>IF(H199="Mandante venceu por WO",Config!$B$19,IF(H199="Visitante venceu por WO",0,IF(OR(E199="",G199=""),"",IF(E199&gt;G199,IF(G199=0,Config!$B$16,Config!$B$17),IF(G199&gt;E199,IF(E199&gt;0,Config!$B$18,0),"")))))</f>
        <v/>
      </c>
      <c r="L199">
        <f>IF(H199="Visitante venceu por WO",Config!$B$19,IF(H199="Mandante venceu por WO",0,IF(OR(E199="",G199=""),"",IF(G199&gt;E199,IF(E199=0,Config!$B$16,Config!$B$17),IF(E199&gt;G199,IF(G199&gt;0,Config!$B$18,0),"")))))</f>
        <v/>
      </c>
      <c r="M199">
        <f>IF(H199="Mandante venceu por WO",D199,IF(H199="Visitante venceu por WO",F199,IF(OR(E199="",G199=""),"",IF(E199&gt;G199,D199,F199))))</f>
        <v/>
      </c>
    </row>
    <row r="200">
      <c r="K200">
        <f>IF(H200="Mandante venceu por WO",Config!$B$19,IF(H200="Visitante venceu por WO",0,IF(OR(E200="",G200=""),"",IF(E200&gt;G200,IF(G200=0,Config!$B$16,Config!$B$17),IF(G200&gt;E200,IF(E200&gt;0,Config!$B$18,0),"")))))</f>
        <v/>
      </c>
      <c r="L200">
        <f>IF(H200="Visitante venceu por WO",Config!$B$19,IF(H200="Mandante venceu por WO",0,IF(OR(E200="",G200=""),"",IF(G200&gt;E200,IF(E200=0,Config!$B$16,Config!$B$17),IF(E200&gt;G200,IF(G200&gt;0,Config!$B$18,0),"")))))</f>
        <v/>
      </c>
      <c r="M200">
        <f>IF(H200="Mandante venceu por WO",D200,IF(H200="Visitante venceu por WO",F200,IF(OR(E200="",G200=""),"",IF(E200&gt;G200,D200,F200))))</f>
        <v/>
      </c>
    </row>
    <row r="201">
      <c r="K201">
        <f>IF(H201="Mandante venceu por WO",Config!$B$19,IF(H201="Visitante venceu por WO",0,IF(OR(E201="",G201=""),"",IF(E201&gt;G201,IF(G201=0,Config!$B$16,Config!$B$17),IF(G201&gt;E201,IF(E201&gt;0,Config!$B$18,0),"")))))</f>
        <v/>
      </c>
      <c r="L201">
        <f>IF(H201="Visitante venceu por WO",Config!$B$19,IF(H201="Mandante venceu por WO",0,IF(OR(E201="",G201=""),"",IF(G201&gt;E201,IF(E201=0,Config!$B$16,Config!$B$17),IF(E201&gt;G201,IF(G201&gt;0,Config!$B$18,0),"")))))</f>
        <v/>
      </c>
      <c r="M201">
        <f>IF(H201="Mandante venceu por WO",D201,IF(H201="Visitante venceu por WO",F201,IF(OR(E201="",G201=""),"",IF(E201&gt;G201,D201,F201))))</f>
        <v/>
      </c>
    </row>
  </sheetData>
  <autoFilter ref="A1:M201"/>
  <conditionalFormatting sqref="A2:M201">
    <cfRule type="expression" priority="1" dxfId="1">
      <formula>$A2="Grupo A"</formula>
    </cfRule>
    <cfRule type="expression" priority="2" dxfId="2">
      <formula>$A2="Grupo B"</formula>
    </cfRule>
    <cfRule type="expression" priority="3" dxfId="3">
      <formula>$A2="Grupo C"</formula>
    </cfRule>
    <cfRule type="expression" priority="4" dxfId="4">
      <formula>$A2="Grupo D"</formula>
    </cfRule>
    <cfRule type="expression" priority="5" dxfId="5">
      <formula>$A2="Grupo E"</formula>
    </cfRule>
    <cfRule type="expression" priority="6" dxfId="6">
      <formula>$A2="Grupo F"</formula>
    </cfRule>
  </conditionalFormatting>
  <dataValidations count="3">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E2 E3 E4 E5 E6 E7 E8 E9 E10 E11 E12 E13 E14 E15 E16 E17 E18 E19 E20 E21 F2 F3 F4 F5 F6 F7 F8 F9 F10 F11 F12 F13 F14 F15 F16 F17 F18 F19 F20 F21" showDropDown="0" showInputMessage="0" showErrorMessage="0" allowBlank="1" type="list">
      <formula1>=Listas!$A$2:$A$20</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showDropDown="0" showInputMessage="0" showErrorMessage="0" allowBlank="1" type="list">
      <formula1>='Cadastro_Times'!$B$2:$B$21</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showDropDown="0" showInputMessage="0" showErrorMessage="0" allowBlank="1" type="list">
      <formula1>=Listas!$F$2:$F$4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1"/>
  <sheetViews>
    <sheetView showGridLines="0" workbookViewId="0">
      <pane ySplit="1" topLeftCell="A2" activePane="bottomLeft" state="frozen"/>
      <selection pane="bottomLeft" activeCell="A1" sqref="A1"/>
    </sheetView>
  </sheetViews>
  <sheetFormatPr baseColWidth="8" defaultRowHeight="15"/>
  <cols>
    <col width="22" customWidth="1" min="1" max="1"/>
    <col width="12" customWidth="1" min="2" max="2"/>
    <col width="8" customWidth="1" min="3" max="3"/>
    <col width="10" customWidth="1" min="4" max="4"/>
    <col width="10" customWidth="1" min="5" max="5"/>
    <col width="10" customWidth="1" min="6" max="6"/>
    <col width="12" customWidth="1" min="7" max="7"/>
    <col width="10" customWidth="1" min="8" max="8"/>
    <col width="12" customWidth="1" min="9" max="9"/>
    <col width="12" customWidth="1" min="10" max="10"/>
    <col width="12" customWidth="1" min="11" max="11"/>
    <col width="10" customWidth="1" min="12" max="12"/>
  </cols>
  <sheetData>
    <row r="1">
      <c r="A1" s="7" t="inlineStr">
        <is>
          <t>Time</t>
        </is>
      </c>
      <c r="B1" s="7" t="inlineStr">
        <is>
          <t>Grupo</t>
        </is>
      </c>
      <c r="C1" s="7" t="inlineStr">
        <is>
          <t>Jogos</t>
        </is>
      </c>
      <c r="D1" s="7" t="inlineStr">
        <is>
          <t>Vitórias</t>
        </is>
      </c>
      <c r="E1" s="7" t="inlineStr">
        <is>
          <t>Derrotas</t>
        </is>
      </c>
      <c r="F1" s="7" t="inlineStr">
        <is>
          <t>Sets Pró</t>
        </is>
      </c>
      <c r="G1" s="7" t="inlineStr">
        <is>
          <t>Sets Contra</t>
        </is>
      </c>
      <c r="H1" s="7" t="inlineStr">
        <is>
          <t>Saldo Sets</t>
        </is>
      </c>
      <c r="I1" s="7" t="inlineStr">
        <is>
          <t>Rally Pró</t>
        </is>
      </c>
      <c r="J1" s="7" t="inlineStr">
        <is>
          <t>Rally Contra</t>
        </is>
      </c>
      <c r="K1" s="7" t="inlineStr">
        <is>
          <t>Saldo Rally</t>
        </is>
      </c>
      <c r="L1" s="7" t="inlineStr">
        <is>
          <t>Pontos</t>
        </is>
      </c>
    </row>
    <row r="2">
      <c r="A2">
        <f>Cadastro_Times!B2</f>
        <v/>
      </c>
      <c r="B2">
        <f>Cadastro_Times!F2</f>
        <v/>
      </c>
      <c r="C2">
        <f>COUNTIF(Jogos_Volei!$D$2:$D$201,A2)+COUNTIF(Jogos_Volei!$F$2:$F$201,A2)</f>
        <v/>
      </c>
      <c r="D2">
        <f>COUNTIFS(Jogos_Volei!$D$2:$D$201,A2,Jogos_Volei!$M$2:$M$201,A2)+COUNTIFS(Jogos_Volei!$F$2:$F$201,A2,Jogos_Volei!$M$2:$M$201,A2)</f>
        <v/>
      </c>
      <c r="E2">
        <f>MAX(0,C2-D2)</f>
        <v/>
      </c>
      <c r="F2">
        <f>SUMIF(Jogos_Volei!$D$2:$D$201,A2,Jogos_Volei!$E$2:$E$201)+SUMIF(Jogos_Volei!$F$2:$F$201,A2,Jogos_Volei!$G$2:$G$201)</f>
        <v/>
      </c>
      <c r="G2">
        <f>SUMIF(Jogos_Volei!$D$2:$D$201,A2,Jogos_Volei!$G$2:$G$201)+SUMIF(Jogos_Volei!$F$2:$F$201,A2,Jogos_Volei!$E$2:$E$201)</f>
        <v/>
      </c>
      <c r="H2">
        <f>F2-G2</f>
        <v/>
      </c>
      <c r="I2">
        <f>SUMIF(Jogos_Volei!$D$2:$D$201,A2,Jogos_Volei!$I$2:$I$201)+SUMIF(Jogos_Volei!$F$2:$F$201,A2,Jogos_Volei!$J$2:$J$201)</f>
        <v/>
      </c>
      <c r="J2">
        <f>SUMIF(Jogos_Volei!$D$2:$D$201,A2,Jogos_Volei!$J$2:$J$201)+SUMIF(Jogos_Volei!$F$2:$F$201,A2,Jogos_Volei!$I$2:$I$201)</f>
        <v/>
      </c>
      <c r="K2">
        <f>I2-J2</f>
        <v/>
      </c>
      <c r="L2">
        <f>SUMIF(Jogos_Volei!$D$2:$D$201,A2,Jogos_Volei!$K$2:$K$201)+SUMIF(Jogos_Volei!$F$2:$F$201,A2,Jogos_Volei!$L$2:$L$201)</f>
        <v/>
      </c>
    </row>
    <row r="3">
      <c r="A3">
        <f>Cadastro_Times!B3</f>
        <v/>
      </c>
      <c r="B3">
        <f>Cadastro_Times!F3</f>
        <v/>
      </c>
      <c r="C3">
        <f>COUNTIF(Jogos_Volei!$D$2:$D$201,A3)+COUNTIF(Jogos_Volei!$F$2:$F$201,A3)</f>
        <v/>
      </c>
      <c r="D3">
        <f>COUNTIFS(Jogos_Volei!$D$2:$D$201,A3,Jogos_Volei!$M$2:$M$201,A3)+COUNTIFS(Jogos_Volei!$F$2:$F$201,A3,Jogos_Volei!$M$2:$M$201,A3)</f>
        <v/>
      </c>
      <c r="E3">
        <f>MAX(0,C3-D3)</f>
        <v/>
      </c>
      <c r="F3">
        <f>SUMIF(Jogos_Volei!$D$2:$D$201,A3,Jogos_Volei!$E$2:$E$201)+SUMIF(Jogos_Volei!$F$2:$F$201,A3,Jogos_Volei!$G$2:$G$201)</f>
        <v/>
      </c>
      <c r="G3">
        <f>SUMIF(Jogos_Volei!$D$2:$D$201,A3,Jogos_Volei!$G$2:$G$201)+SUMIF(Jogos_Volei!$F$2:$F$201,A3,Jogos_Volei!$E$2:$E$201)</f>
        <v/>
      </c>
      <c r="H3">
        <f>F3-G3</f>
        <v/>
      </c>
      <c r="I3">
        <f>SUMIF(Jogos_Volei!$D$2:$D$201,A3,Jogos_Volei!$I$2:$I$201)+SUMIF(Jogos_Volei!$F$2:$F$201,A3,Jogos_Volei!$J$2:$J$201)</f>
        <v/>
      </c>
      <c r="J3">
        <f>SUMIF(Jogos_Volei!$D$2:$D$201,A3,Jogos_Volei!$J$2:$J$201)+SUMIF(Jogos_Volei!$F$2:$F$201,A3,Jogos_Volei!$I$2:$I$201)</f>
        <v/>
      </c>
      <c r="K3">
        <f>I3-J3</f>
        <v/>
      </c>
      <c r="L3">
        <f>SUMIF(Jogos_Volei!$D$2:$D$201,A3,Jogos_Volei!$K$2:$K$201)+SUMIF(Jogos_Volei!$F$2:$F$201,A3,Jogos_Volei!$L$2:$L$201)</f>
        <v/>
      </c>
    </row>
    <row r="4">
      <c r="A4">
        <f>Cadastro_Times!B4</f>
        <v/>
      </c>
      <c r="B4">
        <f>Cadastro_Times!F4</f>
        <v/>
      </c>
      <c r="C4">
        <f>COUNTIF(Jogos_Volei!$D$2:$D$201,A4)+COUNTIF(Jogos_Volei!$F$2:$F$201,A4)</f>
        <v/>
      </c>
      <c r="D4">
        <f>COUNTIFS(Jogos_Volei!$D$2:$D$201,A4,Jogos_Volei!$M$2:$M$201,A4)+COUNTIFS(Jogos_Volei!$F$2:$F$201,A4,Jogos_Volei!$M$2:$M$201,A4)</f>
        <v/>
      </c>
      <c r="E4">
        <f>MAX(0,C4-D4)</f>
        <v/>
      </c>
      <c r="F4">
        <f>SUMIF(Jogos_Volei!$D$2:$D$201,A4,Jogos_Volei!$E$2:$E$201)+SUMIF(Jogos_Volei!$F$2:$F$201,A4,Jogos_Volei!$G$2:$G$201)</f>
        <v/>
      </c>
      <c r="G4">
        <f>SUMIF(Jogos_Volei!$D$2:$D$201,A4,Jogos_Volei!$G$2:$G$201)+SUMIF(Jogos_Volei!$F$2:$F$201,A4,Jogos_Volei!$E$2:$E$201)</f>
        <v/>
      </c>
      <c r="H4">
        <f>F4-G4</f>
        <v/>
      </c>
      <c r="I4">
        <f>SUMIF(Jogos_Volei!$D$2:$D$201,A4,Jogos_Volei!$I$2:$I$201)+SUMIF(Jogos_Volei!$F$2:$F$201,A4,Jogos_Volei!$J$2:$J$201)</f>
        <v/>
      </c>
      <c r="J4">
        <f>SUMIF(Jogos_Volei!$D$2:$D$201,A4,Jogos_Volei!$J$2:$J$201)+SUMIF(Jogos_Volei!$F$2:$F$201,A4,Jogos_Volei!$I$2:$I$201)</f>
        <v/>
      </c>
      <c r="K4">
        <f>I4-J4</f>
        <v/>
      </c>
      <c r="L4">
        <f>SUMIF(Jogos_Volei!$D$2:$D$201,A4,Jogos_Volei!$K$2:$K$201)+SUMIF(Jogos_Volei!$F$2:$F$201,A4,Jogos_Volei!$L$2:$L$201)</f>
        <v/>
      </c>
    </row>
    <row r="5">
      <c r="A5">
        <f>Cadastro_Times!B5</f>
        <v/>
      </c>
      <c r="B5">
        <f>Cadastro_Times!F5</f>
        <v/>
      </c>
      <c r="C5">
        <f>COUNTIF(Jogos_Volei!$D$2:$D$201,A5)+COUNTIF(Jogos_Volei!$F$2:$F$201,A5)</f>
        <v/>
      </c>
      <c r="D5">
        <f>COUNTIFS(Jogos_Volei!$D$2:$D$201,A5,Jogos_Volei!$M$2:$M$201,A5)+COUNTIFS(Jogos_Volei!$F$2:$F$201,A5,Jogos_Volei!$M$2:$M$201,A5)</f>
        <v/>
      </c>
      <c r="E5">
        <f>MAX(0,C5-D5)</f>
        <v/>
      </c>
      <c r="F5">
        <f>SUMIF(Jogos_Volei!$D$2:$D$201,A5,Jogos_Volei!$E$2:$E$201)+SUMIF(Jogos_Volei!$F$2:$F$201,A5,Jogos_Volei!$G$2:$G$201)</f>
        <v/>
      </c>
      <c r="G5">
        <f>SUMIF(Jogos_Volei!$D$2:$D$201,A5,Jogos_Volei!$G$2:$G$201)+SUMIF(Jogos_Volei!$F$2:$F$201,A5,Jogos_Volei!$E$2:$E$201)</f>
        <v/>
      </c>
      <c r="H5">
        <f>F5-G5</f>
        <v/>
      </c>
      <c r="I5">
        <f>SUMIF(Jogos_Volei!$D$2:$D$201,A5,Jogos_Volei!$I$2:$I$201)+SUMIF(Jogos_Volei!$F$2:$F$201,A5,Jogos_Volei!$J$2:$J$201)</f>
        <v/>
      </c>
      <c r="J5">
        <f>SUMIF(Jogos_Volei!$D$2:$D$201,A5,Jogos_Volei!$J$2:$J$201)+SUMIF(Jogos_Volei!$F$2:$F$201,A5,Jogos_Volei!$I$2:$I$201)</f>
        <v/>
      </c>
      <c r="K5">
        <f>I5-J5</f>
        <v/>
      </c>
      <c r="L5">
        <f>SUMIF(Jogos_Volei!$D$2:$D$201,A5,Jogos_Volei!$K$2:$K$201)+SUMIF(Jogos_Volei!$F$2:$F$201,A5,Jogos_Volei!$L$2:$L$201)</f>
        <v/>
      </c>
    </row>
    <row r="6">
      <c r="A6">
        <f>Cadastro_Times!B6</f>
        <v/>
      </c>
      <c r="B6">
        <f>Cadastro_Times!F6</f>
        <v/>
      </c>
      <c r="C6">
        <f>COUNTIF(Jogos_Volei!$D$2:$D$201,A6)+COUNTIF(Jogos_Volei!$F$2:$F$201,A6)</f>
        <v/>
      </c>
      <c r="D6">
        <f>COUNTIFS(Jogos_Volei!$D$2:$D$201,A6,Jogos_Volei!$M$2:$M$201,A6)+COUNTIFS(Jogos_Volei!$F$2:$F$201,A6,Jogos_Volei!$M$2:$M$201,A6)</f>
        <v/>
      </c>
      <c r="E6">
        <f>MAX(0,C6-D6)</f>
        <v/>
      </c>
      <c r="F6">
        <f>SUMIF(Jogos_Volei!$D$2:$D$201,A6,Jogos_Volei!$E$2:$E$201)+SUMIF(Jogos_Volei!$F$2:$F$201,A6,Jogos_Volei!$G$2:$G$201)</f>
        <v/>
      </c>
      <c r="G6">
        <f>SUMIF(Jogos_Volei!$D$2:$D$201,A6,Jogos_Volei!$G$2:$G$201)+SUMIF(Jogos_Volei!$F$2:$F$201,A6,Jogos_Volei!$E$2:$E$201)</f>
        <v/>
      </c>
      <c r="H6">
        <f>F6-G6</f>
        <v/>
      </c>
      <c r="I6">
        <f>SUMIF(Jogos_Volei!$D$2:$D$201,A6,Jogos_Volei!$I$2:$I$201)+SUMIF(Jogos_Volei!$F$2:$F$201,A6,Jogos_Volei!$J$2:$J$201)</f>
        <v/>
      </c>
      <c r="J6">
        <f>SUMIF(Jogos_Volei!$D$2:$D$201,A6,Jogos_Volei!$J$2:$J$201)+SUMIF(Jogos_Volei!$F$2:$F$201,A6,Jogos_Volei!$I$2:$I$201)</f>
        <v/>
      </c>
      <c r="K6">
        <f>I6-J6</f>
        <v/>
      </c>
      <c r="L6">
        <f>SUMIF(Jogos_Volei!$D$2:$D$201,A6,Jogos_Volei!$K$2:$K$201)+SUMIF(Jogos_Volei!$F$2:$F$201,A6,Jogos_Volei!$L$2:$L$201)</f>
        <v/>
      </c>
    </row>
    <row r="7">
      <c r="A7">
        <f>Cadastro_Times!B7</f>
        <v/>
      </c>
      <c r="B7">
        <f>Cadastro_Times!F7</f>
        <v/>
      </c>
      <c r="C7">
        <f>COUNTIF(Jogos_Volei!$D$2:$D$201,A7)+COUNTIF(Jogos_Volei!$F$2:$F$201,A7)</f>
        <v/>
      </c>
      <c r="D7">
        <f>COUNTIFS(Jogos_Volei!$D$2:$D$201,A7,Jogos_Volei!$M$2:$M$201,A7)+COUNTIFS(Jogos_Volei!$F$2:$F$201,A7,Jogos_Volei!$M$2:$M$201,A7)</f>
        <v/>
      </c>
      <c r="E7">
        <f>MAX(0,C7-D7)</f>
        <v/>
      </c>
      <c r="F7">
        <f>SUMIF(Jogos_Volei!$D$2:$D$201,A7,Jogos_Volei!$E$2:$E$201)+SUMIF(Jogos_Volei!$F$2:$F$201,A7,Jogos_Volei!$G$2:$G$201)</f>
        <v/>
      </c>
      <c r="G7">
        <f>SUMIF(Jogos_Volei!$D$2:$D$201,A7,Jogos_Volei!$G$2:$G$201)+SUMIF(Jogos_Volei!$F$2:$F$201,A7,Jogos_Volei!$E$2:$E$201)</f>
        <v/>
      </c>
      <c r="H7">
        <f>F7-G7</f>
        <v/>
      </c>
      <c r="I7">
        <f>SUMIF(Jogos_Volei!$D$2:$D$201,A7,Jogos_Volei!$I$2:$I$201)+SUMIF(Jogos_Volei!$F$2:$F$201,A7,Jogos_Volei!$J$2:$J$201)</f>
        <v/>
      </c>
      <c r="J7">
        <f>SUMIF(Jogos_Volei!$D$2:$D$201,A7,Jogos_Volei!$J$2:$J$201)+SUMIF(Jogos_Volei!$F$2:$F$201,A7,Jogos_Volei!$I$2:$I$201)</f>
        <v/>
      </c>
      <c r="K7">
        <f>I7-J7</f>
        <v/>
      </c>
      <c r="L7">
        <f>SUMIF(Jogos_Volei!$D$2:$D$201,A7,Jogos_Volei!$K$2:$K$201)+SUMIF(Jogos_Volei!$F$2:$F$201,A7,Jogos_Volei!$L$2:$L$201)</f>
        <v/>
      </c>
    </row>
    <row r="8">
      <c r="A8">
        <f>Cadastro_Times!B8</f>
        <v/>
      </c>
      <c r="B8">
        <f>Cadastro_Times!F8</f>
        <v/>
      </c>
      <c r="C8">
        <f>COUNTIF(Jogos_Volei!$D$2:$D$201,A8)+COUNTIF(Jogos_Volei!$F$2:$F$201,A8)</f>
        <v/>
      </c>
      <c r="D8">
        <f>COUNTIFS(Jogos_Volei!$D$2:$D$201,A8,Jogos_Volei!$M$2:$M$201,A8)+COUNTIFS(Jogos_Volei!$F$2:$F$201,A8,Jogos_Volei!$M$2:$M$201,A8)</f>
        <v/>
      </c>
      <c r="E8">
        <f>MAX(0,C8-D8)</f>
        <v/>
      </c>
      <c r="F8">
        <f>SUMIF(Jogos_Volei!$D$2:$D$201,A8,Jogos_Volei!$E$2:$E$201)+SUMIF(Jogos_Volei!$F$2:$F$201,A8,Jogos_Volei!$G$2:$G$201)</f>
        <v/>
      </c>
      <c r="G8">
        <f>SUMIF(Jogos_Volei!$D$2:$D$201,A8,Jogos_Volei!$G$2:$G$201)+SUMIF(Jogos_Volei!$F$2:$F$201,A8,Jogos_Volei!$E$2:$E$201)</f>
        <v/>
      </c>
      <c r="H8">
        <f>F8-G8</f>
        <v/>
      </c>
      <c r="I8">
        <f>SUMIF(Jogos_Volei!$D$2:$D$201,A8,Jogos_Volei!$I$2:$I$201)+SUMIF(Jogos_Volei!$F$2:$F$201,A8,Jogos_Volei!$J$2:$J$201)</f>
        <v/>
      </c>
      <c r="J8">
        <f>SUMIF(Jogos_Volei!$D$2:$D$201,A8,Jogos_Volei!$J$2:$J$201)+SUMIF(Jogos_Volei!$F$2:$F$201,A8,Jogos_Volei!$I$2:$I$201)</f>
        <v/>
      </c>
      <c r="K8">
        <f>I8-J8</f>
        <v/>
      </c>
      <c r="L8">
        <f>SUMIF(Jogos_Volei!$D$2:$D$201,A8,Jogos_Volei!$K$2:$K$201)+SUMIF(Jogos_Volei!$F$2:$F$201,A8,Jogos_Volei!$L$2:$L$201)</f>
        <v/>
      </c>
    </row>
    <row r="9">
      <c r="A9">
        <f>Cadastro_Times!B9</f>
        <v/>
      </c>
      <c r="B9">
        <f>Cadastro_Times!F9</f>
        <v/>
      </c>
      <c r="C9">
        <f>COUNTIF(Jogos_Volei!$D$2:$D$201,A9)+COUNTIF(Jogos_Volei!$F$2:$F$201,A9)</f>
        <v/>
      </c>
      <c r="D9">
        <f>COUNTIFS(Jogos_Volei!$D$2:$D$201,A9,Jogos_Volei!$M$2:$M$201,A9)+COUNTIFS(Jogos_Volei!$F$2:$F$201,A9,Jogos_Volei!$M$2:$M$201,A9)</f>
        <v/>
      </c>
      <c r="E9">
        <f>MAX(0,C9-D9)</f>
        <v/>
      </c>
      <c r="F9">
        <f>SUMIF(Jogos_Volei!$D$2:$D$201,A9,Jogos_Volei!$E$2:$E$201)+SUMIF(Jogos_Volei!$F$2:$F$201,A9,Jogos_Volei!$G$2:$G$201)</f>
        <v/>
      </c>
      <c r="G9">
        <f>SUMIF(Jogos_Volei!$D$2:$D$201,A9,Jogos_Volei!$G$2:$G$201)+SUMIF(Jogos_Volei!$F$2:$F$201,A9,Jogos_Volei!$E$2:$E$201)</f>
        <v/>
      </c>
      <c r="H9">
        <f>F9-G9</f>
        <v/>
      </c>
      <c r="I9">
        <f>SUMIF(Jogos_Volei!$D$2:$D$201,A9,Jogos_Volei!$I$2:$I$201)+SUMIF(Jogos_Volei!$F$2:$F$201,A9,Jogos_Volei!$J$2:$J$201)</f>
        <v/>
      </c>
      <c r="J9">
        <f>SUMIF(Jogos_Volei!$D$2:$D$201,A9,Jogos_Volei!$J$2:$J$201)+SUMIF(Jogos_Volei!$F$2:$F$201,A9,Jogos_Volei!$I$2:$I$201)</f>
        <v/>
      </c>
      <c r="K9">
        <f>I9-J9</f>
        <v/>
      </c>
      <c r="L9">
        <f>SUMIF(Jogos_Volei!$D$2:$D$201,A9,Jogos_Volei!$K$2:$K$201)+SUMIF(Jogos_Volei!$F$2:$F$201,A9,Jogos_Volei!$L$2:$L$201)</f>
        <v/>
      </c>
    </row>
    <row r="10">
      <c r="A10">
        <f>Cadastro_Times!B10</f>
        <v/>
      </c>
      <c r="B10">
        <f>Cadastro_Times!F10</f>
        <v/>
      </c>
      <c r="C10">
        <f>COUNTIF(Jogos_Volei!$D$2:$D$201,A10)+COUNTIF(Jogos_Volei!$F$2:$F$201,A10)</f>
        <v/>
      </c>
      <c r="D10">
        <f>COUNTIFS(Jogos_Volei!$D$2:$D$201,A10,Jogos_Volei!$M$2:$M$201,A10)+COUNTIFS(Jogos_Volei!$F$2:$F$201,A10,Jogos_Volei!$M$2:$M$201,A10)</f>
        <v/>
      </c>
      <c r="E10">
        <f>MAX(0,C10-D10)</f>
        <v/>
      </c>
      <c r="F10">
        <f>SUMIF(Jogos_Volei!$D$2:$D$201,A10,Jogos_Volei!$E$2:$E$201)+SUMIF(Jogos_Volei!$F$2:$F$201,A10,Jogos_Volei!$G$2:$G$201)</f>
        <v/>
      </c>
      <c r="G10">
        <f>SUMIF(Jogos_Volei!$D$2:$D$201,A10,Jogos_Volei!$G$2:$G$201)+SUMIF(Jogos_Volei!$F$2:$F$201,A10,Jogos_Volei!$E$2:$E$201)</f>
        <v/>
      </c>
      <c r="H10">
        <f>F10-G10</f>
        <v/>
      </c>
      <c r="I10">
        <f>SUMIF(Jogos_Volei!$D$2:$D$201,A10,Jogos_Volei!$I$2:$I$201)+SUMIF(Jogos_Volei!$F$2:$F$201,A10,Jogos_Volei!$J$2:$J$201)</f>
        <v/>
      </c>
      <c r="J10">
        <f>SUMIF(Jogos_Volei!$D$2:$D$201,A10,Jogos_Volei!$J$2:$J$201)+SUMIF(Jogos_Volei!$F$2:$F$201,A10,Jogos_Volei!$I$2:$I$201)</f>
        <v/>
      </c>
      <c r="K10">
        <f>I10-J10</f>
        <v/>
      </c>
      <c r="L10">
        <f>SUMIF(Jogos_Volei!$D$2:$D$201,A10,Jogos_Volei!$K$2:$K$201)+SUMIF(Jogos_Volei!$F$2:$F$201,A10,Jogos_Volei!$L$2:$L$201)</f>
        <v/>
      </c>
    </row>
    <row r="11">
      <c r="A11">
        <f>Cadastro_Times!B11</f>
        <v/>
      </c>
      <c r="B11">
        <f>Cadastro_Times!F11</f>
        <v/>
      </c>
      <c r="C11">
        <f>COUNTIF(Jogos_Volei!$D$2:$D$201,A11)+COUNTIF(Jogos_Volei!$F$2:$F$201,A11)</f>
        <v/>
      </c>
      <c r="D11">
        <f>COUNTIFS(Jogos_Volei!$D$2:$D$201,A11,Jogos_Volei!$M$2:$M$201,A11)+COUNTIFS(Jogos_Volei!$F$2:$F$201,A11,Jogos_Volei!$M$2:$M$201,A11)</f>
        <v/>
      </c>
      <c r="E11">
        <f>MAX(0,C11-D11)</f>
        <v/>
      </c>
      <c r="F11">
        <f>SUMIF(Jogos_Volei!$D$2:$D$201,A11,Jogos_Volei!$E$2:$E$201)+SUMIF(Jogos_Volei!$F$2:$F$201,A11,Jogos_Volei!$G$2:$G$201)</f>
        <v/>
      </c>
      <c r="G11">
        <f>SUMIF(Jogos_Volei!$D$2:$D$201,A11,Jogos_Volei!$G$2:$G$201)+SUMIF(Jogos_Volei!$F$2:$F$201,A11,Jogos_Volei!$E$2:$E$201)</f>
        <v/>
      </c>
      <c r="H11">
        <f>F11-G11</f>
        <v/>
      </c>
      <c r="I11">
        <f>SUMIF(Jogos_Volei!$D$2:$D$201,A11,Jogos_Volei!$I$2:$I$201)+SUMIF(Jogos_Volei!$F$2:$F$201,A11,Jogos_Volei!$J$2:$J$201)</f>
        <v/>
      </c>
      <c r="J11">
        <f>SUMIF(Jogos_Volei!$D$2:$D$201,A11,Jogos_Volei!$J$2:$J$201)+SUMIF(Jogos_Volei!$F$2:$F$201,A11,Jogos_Volei!$I$2:$I$201)</f>
        <v/>
      </c>
      <c r="K11">
        <f>I11-J11</f>
        <v/>
      </c>
      <c r="L11">
        <f>SUMIF(Jogos_Volei!$D$2:$D$201,A11,Jogos_Volei!$K$2:$K$201)+SUMIF(Jogos_Volei!$F$2:$F$201,A11,Jogos_Volei!$L$2:$L$201)</f>
        <v/>
      </c>
    </row>
    <row r="12">
      <c r="A12">
        <f>Cadastro_Times!B12</f>
        <v/>
      </c>
      <c r="B12">
        <f>Cadastro_Times!F12</f>
        <v/>
      </c>
      <c r="C12">
        <f>COUNTIF(Jogos_Volei!$D$2:$D$201,A12)+COUNTIF(Jogos_Volei!$F$2:$F$201,A12)</f>
        <v/>
      </c>
      <c r="D12">
        <f>COUNTIFS(Jogos_Volei!$D$2:$D$201,A12,Jogos_Volei!$M$2:$M$201,A12)+COUNTIFS(Jogos_Volei!$F$2:$F$201,A12,Jogos_Volei!$M$2:$M$201,A12)</f>
        <v/>
      </c>
      <c r="E12">
        <f>MAX(0,C12-D12)</f>
        <v/>
      </c>
      <c r="F12">
        <f>SUMIF(Jogos_Volei!$D$2:$D$201,A12,Jogos_Volei!$E$2:$E$201)+SUMIF(Jogos_Volei!$F$2:$F$201,A12,Jogos_Volei!$G$2:$G$201)</f>
        <v/>
      </c>
      <c r="G12">
        <f>SUMIF(Jogos_Volei!$D$2:$D$201,A12,Jogos_Volei!$G$2:$G$201)+SUMIF(Jogos_Volei!$F$2:$F$201,A12,Jogos_Volei!$E$2:$E$201)</f>
        <v/>
      </c>
      <c r="H12">
        <f>F12-G12</f>
        <v/>
      </c>
      <c r="I12">
        <f>SUMIF(Jogos_Volei!$D$2:$D$201,A12,Jogos_Volei!$I$2:$I$201)+SUMIF(Jogos_Volei!$F$2:$F$201,A12,Jogos_Volei!$J$2:$J$201)</f>
        <v/>
      </c>
      <c r="J12">
        <f>SUMIF(Jogos_Volei!$D$2:$D$201,A12,Jogos_Volei!$J$2:$J$201)+SUMIF(Jogos_Volei!$F$2:$F$201,A12,Jogos_Volei!$I$2:$I$201)</f>
        <v/>
      </c>
      <c r="K12">
        <f>I12-J12</f>
        <v/>
      </c>
      <c r="L12">
        <f>SUMIF(Jogos_Volei!$D$2:$D$201,A12,Jogos_Volei!$K$2:$K$201)+SUMIF(Jogos_Volei!$F$2:$F$201,A12,Jogos_Volei!$L$2:$L$201)</f>
        <v/>
      </c>
    </row>
    <row r="13">
      <c r="A13">
        <f>Cadastro_Times!B13</f>
        <v/>
      </c>
      <c r="B13">
        <f>Cadastro_Times!F13</f>
        <v/>
      </c>
      <c r="C13">
        <f>COUNTIF(Jogos_Volei!$D$2:$D$201,A13)+COUNTIF(Jogos_Volei!$F$2:$F$201,A13)</f>
        <v/>
      </c>
      <c r="D13">
        <f>COUNTIFS(Jogos_Volei!$D$2:$D$201,A13,Jogos_Volei!$M$2:$M$201,A13)+COUNTIFS(Jogos_Volei!$F$2:$F$201,A13,Jogos_Volei!$M$2:$M$201,A13)</f>
        <v/>
      </c>
      <c r="E13">
        <f>MAX(0,C13-D13)</f>
        <v/>
      </c>
      <c r="F13">
        <f>SUMIF(Jogos_Volei!$D$2:$D$201,A13,Jogos_Volei!$E$2:$E$201)+SUMIF(Jogos_Volei!$F$2:$F$201,A13,Jogos_Volei!$G$2:$G$201)</f>
        <v/>
      </c>
      <c r="G13">
        <f>SUMIF(Jogos_Volei!$D$2:$D$201,A13,Jogos_Volei!$G$2:$G$201)+SUMIF(Jogos_Volei!$F$2:$F$201,A13,Jogos_Volei!$E$2:$E$201)</f>
        <v/>
      </c>
      <c r="H13">
        <f>F13-G13</f>
        <v/>
      </c>
      <c r="I13">
        <f>SUMIF(Jogos_Volei!$D$2:$D$201,A13,Jogos_Volei!$I$2:$I$201)+SUMIF(Jogos_Volei!$F$2:$F$201,A13,Jogos_Volei!$J$2:$J$201)</f>
        <v/>
      </c>
      <c r="J13">
        <f>SUMIF(Jogos_Volei!$D$2:$D$201,A13,Jogos_Volei!$J$2:$J$201)+SUMIF(Jogos_Volei!$F$2:$F$201,A13,Jogos_Volei!$I$2:$I$201)</f>
        <v/>
      </c>
      <c r="K13">
        <f>I13-J13</f>
        <v/>
      </c>
      <c r="L13">
        <f>SUMIF(Jogos_Volei!$D$2:$D$201,A13,Jogos_Volei!$K$2:$K$201)+SUMIF(Jogos_Volei!$F$2:$F$201,A13,Jogos_Volei!$L$2:$L$201)</f>
        <v/>
      </c>
    </row>
    <row r="14">
      <c r="A14">
        <f>Cadastro_Times!B14</f>
        <v/>
      </c>
      <c r="B14">
        <f>Cadastro_Times!F14</f>
        <v/>
      </c>
      <c r="C14">
        <f>COUNTIF(Jogos_Volei!$D$2:$D$201,A14)+COUNTIF(Jogos_Volei!$F$2:$F$201,A14)</f>
        <v/>
      </c>
      <c r="D14">
        <f>COUNTIFS(Jogos_Volei!$D$2:$D$201,A14,Jogos_Volei!$M$2:$M$201,A14)+COUNTIFS(Jogos_Volei!$F$2:$F$201,A14,Jogos_Volei!$M$2:$M$201,A14)</f>
        <v/>
      </c>
      <c r="E14">
        <f>MAX(0,C14-D14)</f>
        <v/>
      </c>
      <c r="F14">
        <f>SUMIF(Jogos_Volei!$D$2:$D$201,A14,Jogos_Volei!$E$2:$E$201)+SUMIF(Jogos_Volei!$F$2:$F$201,A14,Jogos_Volei!$G$2:$G$201)</f>
        <v/>
      </c>
      <c r="G14">
        <f>SUMIF(Jogos_Volei!$D$2:$D$201,A14,Jogos_Volei!$G$2:$G$201)+SUMIF(Jogos_Volei!$F$2:$F$201,A14,Jogos_Volei!$E$2:$E$201)</f>
        <v/>
      </c>
      <c r="H14">
        <f>F14-G14</f>
        <v/>
      </c>
      <c r="I14">
        <f>SUMIF(Jogos_Volei!$D$2:$D$201,A14,Jogos_Volei!$I$2:$I$201)+SUMIF(Jogos_Volei!$F$2:$F$201,A14,Jogos_Volei!$J$2:$J$201)</f>
        <v/>
      </c>
      <c r="J14">
        <f>SUMIF(Jogos_Volei!$D$2:$D$201,A14,Jogos_Volei!$J$2:$J$201)+SUMIF(Jogos_Volei!$F$2:$F$201,A14,Jogos_Volei!$I$2:$I$201)</f>
        <v/>
      </c>
      <c r="K14">
        <f>I14-J14</f>
        <v/>
      </c>
      <c r="L14">
        <f>SUMIF(Jogos_Volei!$D$2:$D$201,A14,Jogos_Volei!$K$2:$K$201)+SUMIF(Jogos_Volei!$F$2:$F$201,A14,Jogos_Volei!$L$2:$L$201)</f>
        <v/>
      </c>
    </row>
    <row r="15">
      <c r="A15">
        <f>Cadastro_Times!B15</f>
        <v/>
      </c>
      <c r="B15">
        <f>Cadastro_Times!F15</f>
        <v/>
      </c>
      <c r="C15">
        <f>COUNTIF(Jogos_Volei!$D$2:$D$201,A15)+COUNTIF(Jogos_Volei!$F$2:$F$201,A15)</f>
        <v/>
      </c>
      <c r="D15">
        <f>COUNTIFS(Jogos_Volei!$D$2:$D$201,A15,Jogos_Volei!$M$2:$M$201,A15)+COUNTIFS(Jogos_Volei!$F$2:$F$201,A15,Jogos_Volei!$M$2:$M$201,A15)</f>
        <v/>
      </c>
      <c r="E15">
        <f>MAX(0,C15-D15)</f>
        <v/>
      </c>
      <c r="F15">
        <f>SUMIF(Jogos_Volei!$D$2:$D$201,A15,Jogos_Volei!$E$2:$E$201)+SUMIF(Jogos_Volei!$F$2:$F$201,A15,Jogos_Volei!$G$2:$G$201)</f>
        <v/>
      </c>
      <c r="G15">
        <f>SUMIF(Jogos_Volei!$D$2:$D$201,A15,Jogos_Volei!$G$2:$G$201)+SUMIF(Jogos_Volei!$F$2:$F$201,A15,Jogos_Volei!$E$2:$E$201)</f>
        <v/>
      </c>
      <c r="H15">
        <f>F15-G15</f>
        <v/>
      </c>
      <c r="I15">
        <f>SUMIF(Jogos_Volei!$D$2:$D$201,A15,Jogos_Volei!$I$2:$I$201)+SUMIF(Jogos_Volei!$F$2:$F$201,A15,Jogos_Volei!$J$2:$J$201)</f>
        <v/>
      </c>
      <c r="J15">
        <f>SUMIF(Jogos_Volei!$D$2:$D$201,A15,Jogos_Volei!$J$2:$J$201)+SUMIF(Jogos_Volei!$F$2:$F$201,A15,Jogos_Volei!$I$2:$I$201)</f>
        <v/>
      </c>
      <c r="K15">
        <f>I15-J15</f>
        <v/>
      </c>
      <c r="L15">
        <f>SUMIF(Jogos_Volei!$D$2:$D$201,A15,Jogos_Volei!$K$2:$K$201)+SUMIF(Jogos_Volei!$F$2:$F$201,A15,Jogos_Volei!$L$2:$L$201)</f>
        <v/>
      </c>
    </row>
    <row r="16">
      <c r="A16">
        <f>Cadastro_Times!B16</f>
        <v/>
      </c>
      <c r="B16">
        <f>Cadastro_Times!F16</f>
        <v/>
      </c>
      <c r="C16">
        <f>COUNTIF(Jogos_Volei!$D$2:$D$201,A16)+COUNTIF(Jogos_Volei!$F$2:$F$201,A16)</f>
        <v/>
      </c>
      <c r="D16">
        <f>COUNTIFS(Jogos_Volei!$D$2:$D$201,A16,Jogos_Volei!$M$2:$M$201,A16)+COUNTIFS(Jogos_Volei!$F$2:$F$201,A16,Jogos_Volei!$M$2:$M$201,A16)</f>
        <v/>
      </c>
      <c r="E16">
        <f>MAX(0,C16-D16)</f>
        <v/>
      </c>
      <c r="F16">
        <f>SUMIF(Jogos_Volei!$D$2:$D$201,A16,Jogos_Volei!$E$2:$E$201)+SUMIF(Jogos_Volei!$F$2:$F$201,A16,Jogos_Volei!$G$2:$G$201)</f>
        <v/>
      </c>
      <c r="G16">
        <f>SUMIF(Jogos_Volei!$D$2:$D$201,A16,Jogos_Volei!$G$2:$G$201)+SUMIF(Jogos_Volei!$F$2:$F$201,A16,Jogos_Volei!$E$2:$E$201)</f>
        <v/>
      </c>
      <c r="H16">
        <f>F16-G16</f>
        <v/>
      </c>
      <c r="I16">
        <f>SUMIF(Jogos_Volei!$D$2:$D$201,A16,Jogos_Volei!$I$2:$I$201)+SUMIF(Jogos_Volei!$F$2:$F$201,A16,Jogos_Volei!$J$2:$J$201)</f>
        <v/>
      </c>
      <c r="J16">
        <f>SUMIF(Jogos_Volei!$D$2:$D$201,A16,Jogos_Volei!$J$2:$J$201)+SUMIF(Jogos_Volei!$F$2:$F$201,A16,Jogos_Volei!$I$2:$I$201)</f>
        <v/>
      </c>
      <c r="K16">
        <f>I16-J16</f>
        <v/>
      </c>
      <c r="L16">
        <f>SUMIF(Jogos_Volei!$D$2:$D$201,A16,Jogos_Volei!$K$2:$K$201)+SUMIF(Jogos_Volei!$F$2:$F$201,A16,Jogos_Volei!$L$2:$L$201)</f>
        <v/>
      </c>
    </row>
    <row r="17">
      <c r="A17">
        <f>Cadastro_Times!B17</f>
        <v/>
      </c>
      <c r="B17">
        <f>Cadastro_Times!F17</f>
        <v/>
      </c>
      <c r="C17">
        <f>COUNTIF(Jogos_Volei!$D$2:$D$201,A17)+COUNTIF(Jogos_Volei!$F$2:$F$201,A17)</f>
        <v/>
      </c>
      <c r="D17">
        <f>COUNTIFS(Jogos_Volei!$D$2:$D$201,A17,Jogos_Volei!$M$2:$M$201,A17)+COUNTIFS(Jogos_Volei!$F$2:$F$201,A17,Jogos_Volei!$M$2:$M$201,A17)</f>
        <v/>
      </c>
      <c r="E17">
        <f>MAX(0,C17-D17)</f>
        <v/>
      </c>
      <c r="F17">
        <f>SUMIF(Jogos_Volei!$D$2:$D$201,A17,Jogos_Volei!$E$2:$E$201)+SUMIF(Jogos_Volei!$F$2:$F$201,A17,Jogos_Volei!$G$2:$G$201)</f>
        <v/>
      </c>
      <c r="G17">
        <f>SUMIF(Jogos_Volei!$D$2:$D$201,A17,Jogos_Volei!$G$2:$G$201)+SUMIF(Jogos_Volei!$F$2:$F$201,A17,Jogos_Volei!$E$2:$E$201)</f>
        <v/>
      </c>
      <c r="H17">
        <f>F17-G17</f>
        <v/>
      </c>
      <c r="I17">
        <f>SUMIF(Jogos_Volei!$D$2:$D$201,A17,Jogos_Volei!$I$2:$I$201)+SUMIF(Jogos_Volei!$F$2:$F$201,A17,Jogos_Volei!$J$2:$J$201)</f>
        <v/>
      </c>
      <c r="J17">
        <f>SUMIF(Jogos_Volei!$D$2:$D$201,A17,Jogos_Volei!$J$2:$J$201)+SUMIF(Jogos_Volei!$F$2:$F$201,A17,Jogos_Volei!$I$2:$I$201)</f>
        <v/>
      </c>
      <c r="K17">
        <f>I17-J17</f>
        <v/>
      </c>
      <c r="L17">
        <f>SUMIF(Jogos_Volei!$D$2:$D$201,A17,Jogos_Volei!$K$2:$K$201)+SUMIF(Jogos_Volei!$F$2:$F$201,A17,Jogos_Volei!$L$2:$L$201)</f>
        <v/>
      </c>
    </row>
    <row r="18">
      <c r="A18">
        <f>Cadastro_Times!B18</f>
        <v/>
      </c>
      <c r="B18">
        <f>Cadastro_Times!F18</f>
        <v/>
      </c>
      <c r="C18">
        <f>COUNTIF(Jogos_Volei!$D$2:$D$201,A18)+COUNTIF(Jogos_Volei!$F$2:$F$201,A18)</f>
        <v/>
      </c>
      <c r="D18">
        <f>COUNTIFS(Jogos_Volei!$D$2:$D$201,A18,Jogos_Volei!$M$2:$M$201,A18)+COUNTIFS(Jogos_Volei!$F$2:$F$201,A18,Jogos_Volei!$M$2:$M$201,A18)</f>
        <v/>
      </c>
      <c r="E18">
        <f>MAX(0,C18-D18)</f>
        <v/>
      </c>
      <c r="F18">
        <f>SUMIF(Jogos_Volei!$D$2:$D$201,A18,Jogos_Volei!$E$2:$E$201)+SUMIF(Jogos_Volei!$F$2:$F$201,A18,Jogos_Volei!$G$2:$G$201)</f>
        <v/>
      </c>
      <c r="G18">
        <f>SUMIF(Jogos_Volei!$D$2:$D$201,A18,Jogos_Volei!$G$2:$G$201)+SUMIF(Jogos_Volei!$F$2:$F$201,A18,Jogos_Volei!$E$2:$E$201)</f>
        <v/>
      </c>
      <c r="H18">
        <f>F18-G18</f>
        <v/>
      </c>
      <c r="I18">
        <f>SUMIF(Jogos_Volei!$D$2:$D$201,A18,Jogos_Volei!$I$2:$I$201)+SUMIF(Jogos_Volei!$F$2:$F$201,A18,Jogos_Volei!$J$2:$J$201)</f>
        <v/>
      </c>
      <c r="J18">
        <f>SUMIF(Jogos_Volei!$D$2:$D$201,A18,Jogos_Volei!$J$2:$J$201)+SUMIF(Jogos_Volei!$F$2:$F$201,A18,Jogos_Volei!$I$2:$I$201)</f>
        <v/>
      </c>
      <c r="K18">
        <f>I18-J18</f>
        <v/>
      </c>
      <c r="L18">
        <f>SUMIF(Jogos_Volei!$D$2:$D$201,A18,Jogos_Volei!$K$2:$K$201)+SUMIF(Jogos_Volei!$F$2:$F$201,A18,Jogos_Volei!$L$2:$L$201)</f>
        <v/>
      </c>
    </row>
    <row r="19">
      <c r="A19">
        <f>Cadastro_Times!B19</f>
        <v/>
      </c>
      <c r="B19">
        <f>Cadastro_Times!F19</f>
        <v/>
      </c>
      <c r="C19">
        <f>COUNTIF(Jogos_Volei!$D$2:$D$201,A19)+COUNTIF(Jogos_Volei!$F$2:$F$201,A19)</f>
        <v/>
      </c>
      <c r="D19">
        <f>COUNTIFS(Jogos_Volei!$D$2:$D$201,A19,Jogos_Volei!$M$2:$M$201,A19)+COUNTIFS(Jogos_Volei!$F$2:$F$201,A19,Jogos_Volei!$M$2:$M$201,A19)</f>
        <v/>
      </c>
      <c r="E19">
        <f>MAX(0,C19-D19)</f>
        <v/>
      </c>
      <c r="F19">
        <f>SUMIF(Jogos_Volei!$D$2:$D$201,A19,Jogos_Volei!$E$2:$E$201)+SUMIF(Jogos_Volei!$F$2:$F$201,A19,Jogos_Volei!$G$2:$G$201)</f>
        <v/>
      </c>
      <c r="G19">
        <f>SUMIF(Jogos_Volei!$D$2:$D$201,A19,Jogos_Volei!$G$2:$G$201)+SUMIF(Jogos_Volei!$F$2:$F$201,A19,Jogos_Volei!$E$2:$E$201)</f>
        <v/>
      </c>
      <c r="H19">
        <f>F19-G19</f>
        <v/>
      </c>
      <c r="I19">
        <f>SUMIF(Jogos_Volei!$D$2:$D$201,A19,Jogos_Volei!$I$2:$I$201)+SUMIF(Jogos_Volei!$F$2:$F$201,A19,Jogos_Volei!$J$2:$J$201)</f>
        <v/>
      </c>
      <c r="J19">
        <f>SUMIF(Jogos_Volei!$D$2:$D$201,A19,Jogos_Volei!$J$2:$J$201)+SUMIF(Jogos_Volei!$F$2:$F$201,A19,Jogos_Volei!$I$2:$I$201)</f>
        <v/>
      </c>
      <c r="K19">
        <f>I19-J19</f>
        <v/>
      </c>
      <c r="L19">
        <f>SUMIF(Jogos_Volei!$D$2:$D$201,A19,Jogos_Volei!$K$2:$K$201)+SUMIF(Jogos_Volei!$F$2:$F$201,A19,Jogos_Volei!$L$2:$L$201)</f>
        <v/>
      </c>
    </row>
    <row r="20">
      <c r="A20">
        <f>Cadastro_Times!B20</f>
        <v/>
      </c>
      <c r="B20">
        <f>Cadastro_Times!F20</f>
        <v/>
      </c>
      <c r="C20">
        <f>COUNTIF(Jogos_Volei!$D$2:$D$201,A20)+COUNTIF(Jogos_Volei!$F$2:$F$201,A20)</f>
        <v/>
      </c>
      <c r="D20">
        <f>COUNTIFS(Jogos_Volei!$D$2:$D$201,A20,Jogos_Volei!$M$2:$M$201,A20)+COUNTIFS(Jogos_Volei!$F$2:$F$201,A20,Jogos_Volei!$M$2:$M$201,A20)</f>
        <v/>
      </c>
      <c r="E20">
        <f>MAX(0,C20-D20)</f>
        <v/>
      </c>
      <c r="F20">
        <f>SUMIF(Jogos_Volei!$D$2:$D$201,A20,Jogos_Volei!$E$2:$E$201)+SUMIF(Jogos_Volei!$F$2:$F$201,A20,Jogos_Volei!$G$2:$G$201)</f>
        <v/>
      </c>
      <c r="G20">
        <f>SUMIF(Jogos_Volei!$D$2:$D$201,A20,Jogos_Volei!$G$2:$G$201)+SUMIF(Jogos_Volei!$F$2:$F$201,A20,Jogos_Volei!$E$2:$E$201)</f>
        <v/>
      </c>
      <c r="H20">
        <f>F20-G20</f>
        <v/>
      </c>
      <c r="I20">
        <f>SUMIF(Jogos_Volei!$D$2:$D$201,A20,Jogos_Volei!$I$2:$I$201)+SUMIF(Jogos_Volei!$F$2:$F$201,A20,Jogos_Volei!$J$2:$J$201)</f>
        <v/>
      </c>
      <c r="J20">
        <f>SUMIF(Jogos_Volei!$D$2:$D$201,A20,Jogos_Volei!$J$2:$J$201)+SUMIF(Jogos_Volei!$F$2:$F$201,A20,Jogos_Volei!$I$2:$I$201)</f>
        <v/>
      </c>
      <c r="K20">
        <f>I20-J20</f>
        <v/>
      </c>
      <c r="L20">
        <f>SUMIF(Jogos_Volei!$D$2:$D$201,A20,Jogos_Volei!$K$2:$K$201)+SUMIF(Jogos_Volei!$F$2:$F$201,A20,Jogos_Volei!$L$2:$L$201)</f>
        <v/>
      </c>
    </row>
    <row r="21">
      <c r="A21">
        <f>Cadastro_Times!B21</f>
        <v/>
      </c>
      <c r="B21">
        <f>Cadastro_Times!F21</f>
        <v/>
      </c>
      <c r="C21">
        <f>COUNTIF(Jogos_Volei!$D$2:$D$201,A21)+COUNTIF(Jogos_Volei!$F$2:$F$201,A21)</f>
        <v/>
      </c>
      <c r="D21">
        <f>COUNTIFS(Jogos_Volei!$D$2:$D$201,A21,Jogos_Volei!$M$2:$M$201,A21)+COUNTIFS(Jogos_Volei!$F$2:$F$201,A21,Jogos_Volei!$M$2:$M$201,A21)</f>
        <v/>
      </c>
      <c r="E21">
        <f>MAX(0,C21-D21)</f>
        <v/>
      </c>
      <c r="F21">
        <f>SUMIF(Jogos_Volei!$D$2:$D$201,A21,Jogos_Volei!$E$2:$E$201)+SUMIF(Jogos_Volei!$F$2:$F$201,A21,Jogos_Volei!$G$2:$G$201)</f>
        <v/>
      </c>
      <c r="G21">
        <f>SUMIF(Jogos_Volei!$D$2:$D$201,A21,Jogos_Volei!$G$2:$G$201)+SUMIF(Jogos_Volei!$F$2:$F$201,A21,Jogos_Volei!$E$2:$E$201)</f>
        <v/>
      </c>
      <c r="H21">
        <f>F21-G21</f>
        <v/>
      </c>
      <c r="I21">
        <f>SUMIF(Jogos_Volei!$D$2:$D$201,A21,Jogos_Volei!$I$2:$I$201)+SUMIF(Jogos_Volei!$F$2:$F$201,A21,Jogos_Volei!$J$2:$J$201)</f>
        <v/>
      </c>
      <c r="J21">
        <f>SUMIF(Jogos_Volei!$D$2:$D$201,A21,Jogos_Volei!$J$2:$J$201)+SUMIF(Jogos_Volei!$F$2:$F$201,A21,Jogos_Volei!$I$2:$I$201)</f>
        <v/>
      </c>
      <c r="K21">
        <f>I21-J21</f>
        <v/>
      </c>
      <c r="L21">
        <f>SUMIF(Jogos_Volei!$D$2:$D$201,A21,Jogos_Volei!$K$2:$K$201)+SUMIF(Jogos_Volei!$F$2:$F$201,A21,Jogos_Volei!$L$2:$L$201)</f>
        <v/>
      </c>
    </row>
  </sheetData>
  <autoFilter ref="A1:L21"/>
  <conditionalFormatting sqref="A2:L21">
    <cfRule type="expression" priority="1" dxfId="1">
      <formula>$B2="Grupo A"</formula>
    </cfRule>
    <cfRule type="expression" priority="2" dxfId="2">
      <formula>$B2="Grupo B"</formula>
    </cfRule>
    <cfRule type="expression" priority="3" dxfId="3">
      <formula>$B2="Grupo C"</formula>
    </cfRule>
    <cfRule type="expression" priority="4" dxfId="4">
      <formula>$B2="Grupo D"</formula>
    </cfRule>
    <cfRule type="expression" priority="5" dxfId="5">
      <formula>$B2="Grupo E"</formula>
    </cfRule>
    <cfRule type="expression" priority="6" dxfId="6">
      <formula>$B2="Grupo F"</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2"/>
  <sheetViews>
    <sheetView showGridLines="0"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16" customWidth="1" min="4" max="4"/>
    <col width="18" customWidth="1" min="5" max="5"/>
    <col width="14" customWidth="1" min="6" max="6"/>
    <col width="12" customWidth="1" min="7" max="7"/>
  </cols>
  <sheetData>
    <row r="1">
      <c r="A1" s="7" t="inlineStr">
        <is>
          <t>Grupo</t>
        </is>
      </c>
      <c r="B1" s="7" t="inlineStr">
        <is>
          <t>Qtd Times</t>
        </is>
      </c>
      <c r="C1" s="7" t="inlineStr">
        <is>
          <t>Formato Grupos</t>
        </is>
      </c>
      <c r="D1" s="7" t="inlineStr">
        <is>
          <t>Rodadas Previstas</t>
        </is>
      </c>
      <c r="E1" s="7" t="inlineStr">
        <is>
          <t>Confrontos Previstos</t>
        </is>
      </c>
      <c r="F1" s="7" t="inlineStr">
        <is>
          <t>Jogos Lançados</t>
        </is>
      </c>
      <c r="G1" s="7" t="inlineStr">
        <is>
          <t>Pendentes</t>
        </is>
      </c>
    </row>
    <row r="2">
      <c r="A2" t="inlineStr">
        <is>
          <t>Grupo A</t>
        </is>
      </c>
      <c r="B2">
        <f>COUNTIF(Cadastro_Times!$F$2:$F$21,A2)</f>
        <v/>
      </c>
      <c r="C2">
        <f>Config!$B$14</f>
        <v/>
      </c>
      <c r="D2">
        <f>IF(B2&lt;2,0,IF(C2="Ida e volta",(B2-1)*2,B2-1))</f>
        <v/>
      </c>
      <c r="E2">
        <f>IF(B2&lt;2,0,IF(C2="Ida e volta",B2*(B2-1),B2*(B2-1)/2))</f>
        <v/>
      </c>
      <c r="F2">
        <f>COUNTIF(Jogos_Volei!$A$2:$A$201,A2)</f>
        <v/>
      </c>
      <c r="G2">
        <f>MAX(0,E2-F2)</f>
        <v/>
      </c>
    </row>
    <row r="3">
      <c r="A3" t="inlineStr">
        <is>
          <t>Grupo B</t>
        </is>
      </c>
      <c r="B3">
        <f>COUNTIF(Cadastro_Times!$F$2:$F$21,A3)</f>
        <v/>
      </c>
      <c r="C3">
        <f>Config!$B$14</f>
        <v/>
      </c>
      <c r="D3">
        <f>IF(B3&lt;2,0,IF(C3="Ida e volta",(B3-1)*2,B3-1))</f>
        <v/>
      </c>
      <c r="E3">
        <f>IF(B3&lt;2,0,IF(C3="Ida e volta",B3*(B3-1),B3*(B3-1)/2))</f>
        <v/>
      </c>
      <c r="F3">
        <f>COUNTIF(Jogos_Volei!$A$2:$A$201,A3)</f>
        <v/>
      </c>
      <c r="G3">
        <f>MAX(0,E3-F3)</f>
        <v/>
      </c>
    </row>
    <row r="4">
      <c r="A4" t="inlineStr">
        <is>
          <t>Grupo C</t>
        </is>
      </c>
      <c r="B4">
        <f>COUNTIF(Cadastro_Times!$F$2:$F$21,A4)</f>
        <v/>
      </c>
      <c r="C4">
        <f>Config!$B$14</f>
        <v/>
      </c>
      <c r="D4">
        <f>IF(B4&lt;2,0,IF(C4="Ida e volta",(B4-1)*2,B4-1))</f>
        <v/>
      </c>
      <c r="E4">
        <f>IF(B4&lt;2,0,IF(C4="Ida e volta",B4*(B4-1),B4*(B4-1)/2))</f>
        <v/>
      </c>
      <c r="F4">
        <f>COUNTIF(Jogos_Volei!$A$2:$A$201,A4)</f>
        <v/>
      </c>
      <c r="G4">
        <f>MAX(0,E4-F4)</f>
        <v/>
      </c>
    </row>
    <row r="5">
      <c r="A5" t="inlineStr">
        <is>
          <t>Grupo D</t>
        </is>
      </c>
      <c r="B5">
        <f>COUNTIF(Cadastro_Times!$F$2:$F$21,A5)</f>
        <v/>
      </c>
      <c r="C5">
        <f>Config!$B$14</f>
        <v/>
      </c>
      <c r="D5">
        <f>IF(B5&lt;2,0,IF(C5="Ida e volta",(B5-1)*2,B5-1))</f>
        <v/>
      </c>
      <c r="E5">
        <f>IF(B5&lt;2,0,IF(C5="Ida e volta",B5*(B5-1),B5*(B5-1)/2))</f>
        <v/>
      </c>
      <c r="F5">
        <f>COUNTIF(Jogos_Volei!$A$2:$A$201,A5)</f>
        <v/>
      </c>
      <c r="G5">
        <f>MAX(0,E5-F5)</f>
        <v/>
      </c>
    </row>
    <row r="6">
      <c r="A6" t="inlineStr">
        <is>
          <t>Grupo E</t>
        </is>
      </c>
      <c r="B6">
        <f>COUNTIF(Cadastro_Times!$F$2:$F$21,A6)</f>
        <v/>
      </c>
      <c r="C6">
        <f>Config!$B$14</f>
        <v/>
      </c>
      <c r="D6">
        <f>IF(B6&lt;2,0,IF(C6="Ida e volta",(B6-1)*2,B6-1))</f>
        <v/>
      </c>
      <c r="E6">
        <f>IF(B6&lt;2,0,IF(C6="Ida e volta",B6*(B6-1),B6*(B6-1)/2))</f>
        <v/>
      </c>
      <c r="F6">
        <f>COUNTIF(Jogos_Volei!$A$2:$A$201,A6)</f>
        <v/>
      </c>
      <c r="G6">
        <f>MAX(0,E6-F6)</f>
        <v/>
      </c>
    </row>
    <row r="7">
      <c r="A7" t="inlineStr">
        <is>
          <t>Grupo F</t>
        </is>
      </c>
      <c r="B7">
        <f>COUNTIF(Cadastro_Times!$F$2:$F$21,A7)</f>
        <v/>
      </c>
      <c r="C7">
        <f>Config!$B$14</f>
        <v/>
      </c>
      <c r="D7">
        <f>IF(B7&lt;2,0,IF(C7="Ida e volta",(B7-1)*2,B7-1))</f>
        <v/>
      </c>
      <c r="E7">
        <f>IF(B7&lt;2,0,IF(C7="Ida e volta",B7*(B7-1),B7*(B7-1)/2))</f>
        <v/>
      </c>
      <c r="F7">
        <f>COUNTIF(Jogos_Volei!$A$2:$A$201,A7)</f>
        <v/>
      </c>
      <c r="G7">
        <f>MAX(0,E7-F7)</f>
        <v/>
      </c>
    </row>
    <row r="10">
      <c r="A10" s="10" t="inlineStr">
        <is>
          <t>Mata-mata Vôlei</t>
        </is>
      </c>
    </row>
    <row r="11">
      <c r="A11" s="9" t="inlineStr">
        <is>
          <t>Formato</t>
        </is>
      </c>
      <c r="B11" s="9" t="inlineStr">
        <is>
          <t>Semifinais</t>
        </is>
      </c>
      <c r="C11" s="9" t="inlineStr">
        <is>
          <t>3º Lugar</t>
        </is>
      </c>
      <c r="D11" s="9" t="inlineStr">
        <is>
          <t>Final</t>
        </is>
      </c>
      <c r="E11" s="9" t="inlineStr">
        <is>
          <t>Total Previsto</t>
        </is>
      </c>
    </row>
    <row r="12">
      <c r="A12">
        <f>Config!$B$20</f>
        <v/>
      </c>
      <c r="B12">
        <f>IF(A12="Ida e volta",4,2)</f>
        <v/>
      </c>
      <c r="C12">
        <f>IF(A12="Ida e volta",2,1)</f>
        <v/>
      </c>
      <c r="D12">
        <f>IF(A12="Ida e volta",2,1)</f>
        <v/>
      </c>
      <c r="E12">
        <f>SUM(B12:D12)</f>
        <v/>
      </c>
    </row>
  </sheetData>
  <autoFilter ref="A1:G7"/>
  <conditionalFormatting sqref="A2:G7">
    <cfRule type="expression" priority="1" dxfId="1">
      <formula>$A2="Grupo A"</formula>
    </cfRule>
    <cfRule type="expression" priority="2" dxfId="2">
      <formula>$A2="Grupo B"</formula>
    </cfRule>
    <cfRule type="expression" priority="3" dxfId="3">
      <formula>$A2="Grupo C"</formula>
    </cfRule>
    <cfRule type="expression" priority="4" dxfId="4">
      <formula>$A2="Grupo D"</formula>
    </cfRule>
    <cfRule type="expression" priority="5" dxfId="5">
      <formula>$A2="Grupo E"</formula>
    </cfRule>
    <cfRule type="expression" priority="6" dxfId="6">
      <formula>$A2="Grupo F"</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301"/>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 width="12" customWidth="1" min="4" max="4"/>
    <col width="24" customWidth="1" min="5" max="5"/>
    <col width="8" customWidth="1" min="6" max="6"/>
    <col width="10" customWidth="1" min="7" max="7"/>
    <col width="10" customWidth="1" min="8" max="8"/>
    <col width="14" customWidth="1" min="9" max="9"/>
    <col width="18" customWidth="1" min="10" max="10"/>
    <col width="14" customWidth="1" min="11" max="11"/>
    <col width="22" customWidth="1" min="12" max="12"/>
    <col width="20" customWidth="1" min="13" max="13"/>
  </cols>
  <sheetData>
    <row r="1">
      <c r="A1" s="9" t="inlineStr">
        <is>
          <t>Partida</t>
        </is>
      </c>
      <c r="B1" s="9" t="inlineStr">
        <is>
          <t>Data</t>
        </is>
      </c>
      <c r="C1" s="9" t="inlineStr">
        <is>
          <t>Time</t>
        </is>
      </c>
      <c r="D1" s="9" t="inlineStr">
        <is>
          <t>Nº Camisa</t>
        </is>
      </c>
      <c r="E1" s="9" t="inlineStr">
        <is>
          <t>Atleta</t>
        </is>
      </c>
      <c r="F1" s="9" t="inlineStr">
        <is>
          <t>Gols</t>
        </is>
      </c>
      <c r="G1" s="9" t="inlineStr">
        <is>
          <t>Amarelos</t>
        </is>
      </c>
      <c r="H1" s="9" t="inlineStr">
        <is>
          <t>Vermelhos</t>
        </is>
      </c>
      <c r="I1" s="9" t="inlineStr">
        <is>
          <t>Suspenso Próx.?</t>
        </is>
      </c>
      <c r="J1" s="9" t="inlineStr">
        <is>
          <t>Motivo</t>
        </is>
      </c>
      <c r="K1" s="9" t="inlineStr">
        <is>
          <t>Grupo/Etapa</t>
        </is>
      </c>
      <c r="L1" s="9" t="inlineStr">
        <is>
          <t>Adversário</t>
        </is>
      </c>
      <c r="M1" s="9" t="inlineStr">
        <is>
          <t>Observações</t>
        </is>
      </c>
    </row>
    <row r="2">
      <c r="E2">
        <f>IF(D2="","",IFERROR(INDEX(Cadastro_Atletas!$C$2:$C$401,MATCH(D2,Cadastro_Atletas!$D$2:$D$401,0)),""))</f>
        <v/>
      </c>
      <c r="I2">
        <f>IF(OR(G2&gt;=2,H2&gt;=1),"Sim","Não")</f>
        <v/>
      </c>
      <c r="J2">
        <f>IF(H2&gt;=1,"Cartão vermelho",IF(G2&gt;=2,"Dois amarelos",""))</f>
        <v/>
      </c>
    </row>
    <row r="3">
      <c r="E3">
        <f>IF(D3="","",IFERROR(INDEX(Cadastro_Atletas!$C$2:$C$401,MATCH(D3,Cadastro_Atletas!$D$2:$D$401,0)),""))</f>
        <v/>
      </c>
      <c r="I3">
        <f>IF(OR(G3&gt;=2,H3&gt;=1),"Sim","Não")</f>
        <v/>
      </c>
      <c r="J3">
        <f>IF(H3&gt;=1,"Cartão vermelho",IF(G3&gt;=2,"Dois amarelos",""))</f>
        <v/>
      </c>
    </row>
    <row r="4">
      <c r="E4">
        <f>IF(D4="","",IFERROR(INDEX(Cadastro_Atletas!$C$2:$C$401,MATCH(D4,Cadastro_Atletas!$D$2:$D$401,0)),""))</f>
        <v/>
      </c>
      <c r="I4">
        <f>IF(OR(G4&gt;=2,H4&gt;=1),"Sim","Não")</f>
        <v/>
      </c>
      <c r="J4">
        <f>IF(H4&gt;=1,"Cartão vermelho",IF(G4&gt;=2,"Dois amarelos",""))</f>
        <v/>
      </c>
    </row>
    <row r="5">
      <c r="E5">
        <f>IF(D5="","",IFERROR(INDEX(Cadastro_Atletas!$C$2:$C$401,MATCH(D5,Cadastro_Atletas!$D$2:$D$401,0)),""))</f>
        <v/>
      </c>
      <c r="I5">
        <f>IF(OR(G5&gt;=2,H5&gt;=1),"Sim","Não")</f>
        <v/>
      </c>
      <c r="J5">
        <f>IF(H5&gt;=1,"Cartão vermelho",IF(G5&gt;=2,"Dois amarelos",""))</f>
        <v/>
      </c>
    </row>
    <row r="6">
      <c r="E6">
        <f>IF(D6="","",IFERROR(INDEX(Cadastro_Atletas!$C$2:$C$401,MATCH(D6,Cadastro_Atletas!$D$2:$D$401,0)),""))</f>
        <v/>
      </c>
      <c r="I6">
        <f>IF(OR(G6&gt;=2,H6&gt;=1),"Sim","Não")</f>
        <v/>
      </c>
      <c r="J6">
        <f>IF(H6&gt;=1,"Cartão vermelho",IF(G6&gt;=2,"Dois amarelos",""))</f>
        <v/>
      </c>
    </row>
    <row r="7">
      <c r="E7">
        <f>IF(D7="","",IFERROR(INDEX(Cadastro_Atletas!$C$2:$C$401,MATCH(D7,Cadastro_Atletas!$D$2:$D$401,0)),""))</f>
        <v/>
      </c>
      <c r="I7">
        <f>IF(OR(G7&gt;=2,H7&gt;=1),"Sim","Não")</f>
        <v/>
      </c>
      <c r="J7">
        <f>IF(H7&gt;=1,"Cartão vermelho",IF(G7&gt;=2,"Dois amarelos",""))</f>
        <v/>
      </c>
    </row>
    <row r="8">
      <c r="E8">
        <f>IF(D8="","",IFERROR(INDEX(Cadastro_Atletas!$C$2:$C$401,MATCH(D8,Cadastro_Atletas!$D$2:$D$401,0)),""))</f>
        <v/>
      </c>
      <c r="I8">
        <f>IF(OR(G8&gt;=2,H8&gt;=1),"Sim","Não")</f>
        <v/>
      </c>
      <c r="J8">
        <f>IF(H8&gt;=1,"Cartão vermelho",IF(G8&gt;=2,"Dois amarelos",""))</f>
        <v/>
      </c>
    </row>
    <row r="9">
      <c r="E9">
        <f>IF(D9="","",IFERROR(INDEX(Cadastro_Atletas!$C$2:$C$401,MATCH(D9,Cadastro_Atletas!$D$2:$D$401,0)),""))</f>
        <v/>
      </c>
      <c r="I9">
        <f>IF(OR(G9&gt;=2,H9&gt;=1),"Sim","Não")</f>
        <v/>
      </c>
      <c r="J9">
        <f>IF(H9&gt;=1,"Cartão vermelho",IF(G9&gt;=2,"Dois amarelos",""))</f>
        <v/>
      </c>
    </row>
    <row r="10">
      <c r="E10">
        <f>IF(D10="","",IFERROR(INDEX(Cadastro_Atletas!$C$2:$C$401,MATCH(D10,Cadastro_Atletas!$D$2:$D$401,0)),""))</f>
        <v/>
      </c>
      <c r="I10">
        <f>IF(OR(G10&gt;=2,H10&gt;=1),"Sim","Não")</f>
        <v/>
      </c>
      <c r="J10">
        <f>IF(H10&gt;=1,"Cartão vermelho",IF(G10&gt;=2,"Dois amarelos",""))</f>
        <v/>
      </c>
    </row>
    <row r="11">
      <c r="E11">
        <f>IF(D11="","",IFERROR(INDEX(Cadastro_Atletas!$C$2:$C$401,MATCH(D11,Cadastro_Atletas!$D$2:$D$401,0)),""))</f>
        <v/>
      </c>
      <c r="I11">
        <f>IF(OR(G11&gt;=2,H11&gt;=1),"Sim","Não")</f>
        <v/>
      </c>
      <c r="J11">
        <f>IF(H11&gt;=1,"Cartão vermelho",IF(G11&gt;=2,"Dois amarelos",""))</f>
        <v/>
      </c>
    </row>
    <row r="12">
      <c r="E12">
        <f>IF(D12="","",IFERROR(INDEX(Cadastro_Atletas!$C$2:$C$401,MATCH(D12,Cadastro_Atletas!$D$2:$D$401,0)),""))</f>
        <v/>
      </c>
      <c r="I12">
        <f>IF(OR(G12&gt;=2,H12&gt;=1),"Sim","Não")</f>
        <v/>
      </c>
      <c r="J12">
        <f>IF(H12&gt;=1,"Cartão vermelho",IF(G12&gt;=2,"Dois amarelos",""))</f>
        <v/>
      </c>
    </row>
    <row r="13">
      <c r="E13">
        <f>IF(D13="","",IFERROR(INDEX(Cadastro_Atletas!$C$2:$C$401,MATCH(D13,Cadastro_Atletas!$D$2:$D$401,0)),""))</f>
        <v/>
      </c>
      <c r="I13">
        <f>IF(OR(G13&gt;=2,H13&gt;=1),"Sim","Não")</f>
        <v/>
      </c>
      <c r="J13">
        <f>IF(H13&gt;=1,"Cartão vermelho",IF(G13&gt;=2,"Dois amarelos",""))</f>
        <v/>
      </c>
    </row>
    <row r="14">
      <c r="E14">
        <f>IF(D14="","",IFERROR(INDEX(Cadastro_Atletas!$C$2:$C$401,MATCH(D14,Cadastro_Atletas!$D$2:$D$401,0)),""))</f>
        <v/>
      </c>
      <c r="I14">
        <f>IF(OR(G14&gt;=2,H14&gt;=1),"Sim","Não")</f>
        <v/>
      </c>
      <c r="J14">
        <f>IF(H14&gt;=1,"Cartão vermelho",IF(G14&gt;=2,"Dois amarelos",""))</f>
        <v/>
      </c>
    </row>
    <row r="15">
      <c r="E15">
        <f>IF(D15="","",IFERROR(INDEX(Cadastro_Atletas!$C$2:$C$401,MATCH(D15,Cadastro_Atletas!$D$2:$D$401,0)),""))</f>
        <v/>
      </c>
      <c r="I15">
        <f>IF(OR(G15&gt;=2,H15&gt;=1),"Sim","Não")</f>
        <v/>
      </c>
      <c r="J15">
        <f>IF(H15&gt;=1,"Cartão vermelho",IF(G15&gt;=2,"Dois amarelos",""))</f>
        <v/>
      </c>
    </row>
    <row r="16">
      <c r="E16">
        <f>IF(D16="","",IFERROR(INDEX(Cadastro_Atletas!$C$2:$C$401,MATCH(D16,Cadastro_Atletas!$D$2:$D$401,0)),""))</f>
        <v/>
      </c>
      <c r="I16">
        <f>IF(OR(G16&gt;=2,H16&gt;=1),"Sim","Não")</f>
        <v/>
      </c>
      <c r="J16">
        <f>IF(H16&gt;=1,"Cartão vermelho",IF(G16&gt;=2,"Dois amarelos",""))</f>
        <v/>
      </c>
    </row>
    <row r="17">
      <c r="E17">
        <f>IF(D17="","",IFERROR(INDEX(Cadastro_Atletas!$C$2:$C$401,MATCH(D17,Cadastro_Atletas!$D$2:$D$401,0)),""))</f>
        <v/>
      </c>
      <c r="I17">
        <f>IF(OR(G17&gt;=2,H17&gt;=1),"Sim","Não")</f>
        <v/>
      </c>
      <c r="J17">
        <f>IF(H17&gt;=1,"Cartão vermelho",IF(G17&gt;=2,"Dois amarelos",""))</f>
        <v/>
      </c>
    </row>
    <row r="18">
      <c r="E18">
        <f>IF(D18="","",IFERROR(INDEX(Cadastro_Atletas!$C$2:$C$401,MATCH(D18,Cadastro_Atletas!$D$2:$D$401,0)),""))</f>
        <v/>
      </c>
      <c r="I18">
        <f>IF(OR(G18&gt;=2,H18&gt;=1),"Sim","Não")</f>
        <v/>
      </c>
      <c r="J18">
        <f>IF(H18&gt;=1,"Cartão vermelho",IF(G18&gt;=2,"Dois amarelos",""))</f>
        <v/>
      </c>
    </row>
    <row r="19">
      <c r="E19">
        <f>IF(D19="","",IFERROR(INDEX(Cadastro_Atletas!$C$2:$C$401,MATCH(D19,Cadastro_Atletas!$D$2:$D$401,0)),""))</f>
        <v/>
      </c>
      <c r="I19">
        <f>IF(OR(G19&gt;=2,H19&gt;=1),"Sim","Não")</f>
        <v/>
      </c>
      <c r="J19">
        <f>IF(H19&gt;=1,"Cartão vermelho",IF(G19&gt;=2,"Dois amarelos",""))</f>
        <v/>
      </c>
    </row>
    <row r="20">
      <c r="E20">
        <f>IF(D20="","",IFERROR(INDEX(Cadastro_Atletas!$C$2:$C$401,MATCH(D20,Cadastro_Atletas!$D$2:$D$401,0)),""))</f>
        <v/>
      </c>
      <c r="I20">
        <f>IF(OR(G20&gt;=2,H20&gt;=1),"Sim","Não")</f>
        <v/>
      </c>
      <c r="J20">
        <f>IF(H20&gt;=1,"Cartão vermelho",IF(G20&gt;=2,"Dois amarelos",""))</f>
        <v/>
      </c>
    </row>
    <row r="21">
      <c r="E21">
        <f>IF(D21="","",IFERROR(INDEX(Cadastro_Atletas!$C$2:$C$401,MATCH(D21,Cadastro_Atletas!$D$2:$D$401,0)),""))</f>
        <v/>
      </c>
      <c r="I21">
        <f>IF(OR(G21&gt;=2,H21&gt;=1),"Sim","Não")</f>
        <v/>
      </c>
      <c r="J21">
        <f>IF(H21&gt;=1,"Cartão vermelho",IF(G21&gt;=2,"Dois amarelos",""))</f>
        <v/>
      </c>
    </row>
    <row r="22">
      <c r="E22">
        <f>IF(D22="","",IFERROR(INDEX(Cadastro_Atletas!$C$2:$C$401,MATCH(D22,Cadastro_Atletas!$D$2:$D$401,0)),""))</f>
        <v/>
      </c>
      <c r="I22">
        <f>IF(OR(G22&gt;=2,H22&gt;=1),"Sim","Não")</f>
        <v/>
      </c>
      <c r="J22">
        <f>IF(H22&gt;=1,"Cartão vermelho",IF(G22&gt;=2,"Dois amarelos",""))</f>
        <v/>
      </c>
    </row>
    <row r="23">
      <c r="E23">
        <f>IF(D23="","",IFERROR(INDEX(Cadastro_Atletas!$C$2:$C$401,MATCH(D23,Cadastro_Atletas!$D$2:$D$401,0)),""))</f>
        <v/>
      </c>
      <c r="I23">
        <f>IF(OR(G23&gt;=2,H23&gt;=1),"Sim","Não")</f>
        <v/>
      </c>
      <c r="J23">
        <f>IF(H23&gt;=1,"Cartão vermelho",IF(G23&gt;=2,"Dois amarelos",""))</f>
        <v/>
      </c>
    </row>
    <row r="24">
      <c r="E24">
        <f>IF(D24="","",IFERROR(INDEX(Cadastro_Atletas!$C$2:$C$401,MATCH(D24,Cadastro_Atletas!$D$2:$D$401,0)),""))</f>
        <v/>
      </c>
      <c r="I24">
        <f>IF(OR(G24&gt;=2,H24&gt;=1),"Sim","Não")</f>
        <v/>
      </c>
      <c r="J24">
        <f>IF(H24&gt;=1,"Cartão vermelho",IF(G24&gt;=2,"Dois amarelos",""))</f>
        <v/>
      </c>
    </row>
    <row r="25">
      <c r="E25">
        <f>IF(D25="","",IFERROR(INDEX(Cadastro_Atletas!$C$2:$C$401,MATCH(D25,Cadastro_Atletas!$D$2:$D$401,0)),""))</f>
        <v/>
      </c>
      <c r="I25">
        <f>IF(OR(G25&gt;=2,H25&gt;=1),"Sim","Não")</f>
        <v/>
      </c>
      <c r="J25">
        <f>IF(H25&gt;=1,"Cartão vermelho",IF(G25&gt;=2,"Dois amarelos",""))</f>
        <v/>
      </c>
    </row>
    <row r="26">
      <c r="E26">
        <f>IF(D26="","",IFERROR(INDEX(Cadastro_Atletas!$C$2:$C$401,MATCH(D26,Cadastro_Atletas!$D$2:$D$401,0)),""))</f>
        <v/>
      </c>
      <c r="I26">
        <f>IF(OR(G26&gt;=2,H26&gt;=1),"Sim","Não")</f>
        <v/>
      </c>
      <c r="J26">
        <f>IF(H26&gt;=1,"Cartão vermelho",IF(G26&gt;=2,"Dois amarelos",""))</f>
        <v/>
      </c>
    </row>
    <row r="27">
      <c r="E27">
        <f>IF(D27="","",IFERROR(INDEX(Cadastro_Atletas!$C$2:$C$401,MATCH(D27,Cadastro_Atletas!$D$2:$D$401,0)),""))</f>
        <v/>
      </c>
      <c r="I27">
        <f>IF(OR(G27&gt;=2,H27&gt;=1),"Sim","Não")</f>
        <v/>
      </c>
      <c r="J27">
        <f>IF(H27&gt;=1,"Cartão vermelho",IF(G27&gt;=2,"Dois amarelos",""))</f>
        <v/>
      </c>
    </row>
    <row r="28">
      <c r="E28">
        <f>IF(D28="","",IFERROR(INDEX(Cadastro_Atletas!$C$2:$C$401,MATCH(D28,Cadastro_Atletas!$D$2:$D$401,0)),""))</f>
        <v/>
      </c>
      <c r="I28">
        <f>IF(OR(G28&gt;=2,H28&gt;=1),"Sim","Não")</f>
        <v/>
      </c>
      <c r="J28">
        <f>IF(H28&gt;=1,"Cartão vermelho",IF(G28&gt;=2,"Dois amarelos",""))</f>
        <v/>
      </c>
    </row>
    <row r="29">
      <c r="E29">
        <f>IF(D29="","",IFERROR(INDEX(Cadastro_Atletas!$C$2:$C$401,MATCH(D29,Cadastro_Atletas!$D$2:$D$401,0)),""))</f>
        <v/>
      </c>
      <c r="I29">
        <f>IF(OR(G29&gt;=2,H29&gt;=1),"Sim","Não")</f>
        <v/>
      </c>
      <c r="J29">
        <f>IF(H29&gt;=1,"Cartão vermelho",IF(G29&gt;=2,"Dois amarelos",""))</f>
        <v/>
      </c>
    </row>
    <row r="30">
      <c r="E30">
        <f>IF(D30="","",IFERROR(INDEX(Cadastro_Atletas!$C$2:$C$401,MATCH(D30,Cadastro_Atletas!$D$2:$D$401,0)),""))</f>
        <v/>
      </c>
      <c r="I30">
        <f>IF(OR(G30&gt;=2,H30&gt;=1),"Sim","Não")</f>
        <v/>
      </c>
      <c r="J30">
        <f>IF(H30&gt;=1,"Cartão vermelho",IF(G30&gt;=2,"Dois amarelos",""))</f>
        <v/>
      </c>
    </row>
    <row r="31">
      <c r="E31">
        <f>IF(D31="","",IFERROR(INDEX(Cadastro_Atletas!$C$2:$C$401,MATCH(D31,Cadastro_Atletas!$D$2:$D$401,0)),""))</f>
        <v/>
      </c>
      <c r="I31">
        <f>IF(OR(G31&gt;=2,H31&gt;=1),"Sim","Não")</f>
        <v/>
      </c>
      <c r="J31">
        <f>IF(H31&gt;=1,"Cartão vermelho",IF(G31&gt;=2,"Dois amarelos",""))</f>
        <v/>
      </c>
    </row>
    <row r="32">
      <c r="E32">
        <f>IF(D32="","",IFERROR(INDEX(Cadastro_Atletas!$C$2:$C$401,MATCH(D32,Cadastro_Atletas!$D$2:$D$401,0)),""))</f>
        <v/>
      </c>
      <c r="I32">
        <f>IF(OR(G32&gt;=2,H32&gt;=1),"Sim","Não")</f>
        <v/>
      </c>
      <c r="J32">
        <f>IF(H32&gt;=1,"Cartão vermelho",IF(G32&gt;=2,"Dois amarelos",""))</f>
        <v/>
      </c>
    </row>
    <row r="33">
      <c r="E33">
        <f>IF(D33="","",IFERROR(INDEX(Cadastro_Atletas!$C$2:$C$401,MATCH(D33,Cadastro_Atletas!$D$2:$D$401,0)),""))</f>
        <v/>
      </c>
      <c r="I33">
        <f>IF(OR(G33&gt;=2,H33&gt;=1),"Sim","Não")</f>
        <v/>
      </c>
      <c r="J33">
        <f>IF(H33&gt;=1,"Cartão vermelho",IF(G33&gt;=2,"Dois amarelos",""))</f>
        <v/>
      </c>
    </row>
    <row r="34">
      <c r="E34">
        <f>IF(D34="","",IFERROR(INDEX(Cadastro_Atletas!$C$2:$C$401,MATCH(D34,Cadastro_Atletas!$D$2:$D$401,0)),""))</f>
        <v/>
      </c>
      <c r="I34">
        <f>IF(OR(G34&gt;=2,H34&gt;=1),"Sim","Não")</f>
        <v/>
      </c>
      <c r="J34">
        <f>IF(H34&gt;=1,"Cartão vermelho",IF(G34&gt;=2,"Dois amarelos",""))</f>
        <v/>
      </c>
    </row>
    <row r="35">
      <c r="E35">
        <f>IF(D35="","",IFERROR(INDEX(Cadastro_Atletas!$C$2:$C$401,MATCH(D35,Cadastro_Atletas!$D$2:$D$401,0)),""))</f>
        <v/>
      </c>
      <c r="I35">
        <f>IF(OR(G35&gt;=2,H35&gt;=1),"Sim","Não")</f>
        <v/>
      </c>
      <c r="J35">
        <f>IF(H35&gt;=1,"Cartão vermelho",IF(G35&gt;=2,"Dois amarelos",""))</f>
        <v/>
      </c>
    </row>
    <row r="36">
      <c r="E36">
        <f>IF(D36="","",IFERROR(INDEX(Cadastro_Atletas!$C$2:$C$401,MATCH(D36,Cadastro_Atletas!$D$2:$D$401,0)),""))</f>
        <v/>
      </c>
      <c r="I36">
        <f>IF(OR(G36&gt;=2,H36&gt;=1),"Sim","Não")</f>
        <v/>
      </c>
      <c r="J36">
        <f>IF(H36&gt;=1,"Cartão vermelho",IF(G36&gt;=2,"Dois amarelos",""))</f>
        <v/>
      </c>
    </row>
    <row r="37">
      <c r="E37">
        <f>IF(D37="","",IFERROR(INDEX(Cadastro_Atletas!$C$2:$C$401,MATCH(D37,Cadastro_Atletas!$D$2:$D$401,0)),""))</f>
        <v/>
      </c>
      <c r="I37">
        <f>IF(OR(G37&gt;=2,H37&gt;=1),"Sim","Não")</f>
        <v/>
      </c>
      <c r="J37">
        <f>IF(H37&gt;=1,"Cartão vermelho",IF(G37&gt;=2,"Dois amarelos",""))</f>
        <v/>
      </c>
    </row>
    <row r="38">
      <c r="E38">
        <f>IF(D38="","",IFERROR(INDEX(Cadastro_Atletas!$C$2:$C$401,MATCH(D38,Cadastro_Atletas!$D$2:$D$401,0)),""))</f>
        <v/>
      </c>
      <c r="I38">
        <f>IF(OR(G38&gt;=2,H38&gt;=1),"Sim","Não")</f>
        <v/>
      </c>
      <c r="J38">
        <f>IF(H38&gt;=1,"Cartão vermelho",IF(G38&gt;=2,"Dois amarelos",""))</f>
        <v/>
      </c>
    </row>
    <row r="39">
      <c r="E39">
        <f>IF(D39="","",IFERROR(INDEX(Cadastro_Atletas!$C$2:$C$401,MATCH(D39,Cadastro_Atletas!$D$2:$D$401,0)),""))</f>
        <v/>
      </c>
      <c r="I39">
        <f>IF(OR(G39&gt;=2,H39&gt;=1),"Sim","Não")</f>
        <v/>
      </c>
      <c r="J39">
        <f>IF(H39&gt;=1,"Cartão vermelho",IF(G39&gt;=2,"Dois amarelos",""))</f>
        <v/>
      </c>
    </row>
    <row r="40">
      <c r="E40">
        <f>IF(D40="","",IFERROR(INDEX(Cadastro_Atletas!$C$2:$C$401,MATCH(D40,Cadastro_Atletas!$D$2:$D$401,0)),""))</f>
        <v/>
      </c>
      <c r="I40">
        <f>IF(OR(G40&gt;=2,H40&gt;=1),"Sim","Não")</f>
        <v/>
      </c>
      <c r="J40">
        <f>IF(H40&gt;=1,"Cartão vermelho",IF(G40&gt;=2,"Dois amarelos",""))</f>
        <v/>
      </c>
    </row>
    <row r="41">
      <c r="E41">
        <f>IF(D41="","",IFERROR(INDEX(Cadastro_Atletas!$C$2:$C$401,MATCH(D41,Cadastro_Atletas!$D$2:$D$401,0)),""))</f>
        <v/>
      </c>
      <c r="I41">
        <f>IF(OR(G41&gt;=2,H41&gt;=1),"Sim","Não")</f>
        <v/>
      </c>
      <c r="J41">
        <f>IF(H41&gt;=1,"Cartão vermelho",IF(G41&gt;=2,"Dois amarelos",""))</f>
        <v/>
      </c>
    </row>
    <row r="42">
      <c r="E42">
        <f>IF(D42="","",IFERROR(INDEX(Cadastro_Atletas!$C$2:$C$401,MATCH(D42,Cadastro_Atletas!$D$2:$D$401,0)),""))</f>
        <v/>
      </c>
      <c r="I42">
        <f>IF(OR(G42&gt;=2,H42&gt;=1),"Sim","Não")</f>
        <v/>
      </c>
      <c r="J42">
        <f>IF(H42&gt;=1,"Cartão vermelho",IF(G42&gt;=2,"Dois amarelos",""))</f>
        <v/>
      </c>
    </row>
    <row r="43">
      <c r="E43">
        <f>IF(D43="","",IFERROR(INDEX(Cadastro_Atletas!$C$2:$C$401,MATCH(D43,Cadastro_Atletas!$D$2:$D$401,0)),""))</f>
        <v/>
      </c>
      <c r="I43">
        <f>IF(OR(G43&gt;=2,H43&gt;=1),"Sim","Não")</f>
        <v/>
      </c>
      <c r="J43">
        <f>IF(H43&gt;=1,"Cartão vermelho",IF(G43&gt;=2,"Dois amarelos",""))</f>
        <v/>
      </c>
    </row>
    <row r="44">
      <c r="E44">
        <f>IF(D44="","",IFERROR(INDEX(Cadastro_Atletas!$C$2:$C$401,MATCH(D44,Cadastro_Atletas!$D$2:$D$401,0)),""))</f>
        <v/>
      </c>
      <c r="I44">
        <f>IF(OR(G44&gt;=2,H44&gt;=1),"Sim","Não")</f>
        <v/>
      </c>
      <c r="J44">
        <f>IF(H44&gt;=1,"Cartão vermelho",IF(G44&gt;=2,"Dois amarelos",""))</f>
        <v/>
      </c>
    </row>
    <row r="45">
      <c r="E45">
        <f>IF(D45="","",IFERROR(INDEX(Cadastro_Atletas!$C$2:$C$401,MATCH(D45,Cadastro_Atletas!$D$2:$D$401,0)),""))</f>
        <v/>
      </c>
      <c r="I45">
        <f>IF(OR(G45&gt;=2,H45&gt;=1),"Sim","Não")</f>
        <v/>
      </c>
      <c r="J45">
        <f>IF(H45&gt;=1,"Cartão vermelho",IF(G45&gt;=2,"Dois amarelos",""))</f>
        <v/>
      </c>
    </row>
    <row r="46">
      <c r="E46">
        <f>IF(D46="","",IFERROR(INDEX(Cadastro_Atletas!$C$2:$C$401,MATCH(D46,Cadastro_Atletas!$D$2:$D$401,0)),""))</f>
        <v/>
      </c>
      <c r="I46">
        <f>IF(OR(G46&gt;=2,H46&gt;=1),"Sim","Não")</f>
        <v/>
      </c>
      <c r="J46">
        <f>IF(H46&gt;=1,"Cartão vermelho",IF(G46&gt;=2,"Dois amarelos",""))</f>
        <v/>
      </c>
    </row>
    <row r="47">
      <c r="E47">
        <f>IF(D47="","",IFERROR(INDEX(Cadastro_Atletas!$C$2:$C$401,MATCH(D47,Cadastro_Atletas!$D$2:$D$401,0)),""))</f>
        <v/>
      </c>
      <c r="I47">
        <f>IF(OR(G47&gt;=2,H47&gt;=1),"Sim","Não")</f>
        <v/>
      </c>
      <c r="J47">
        <f>IF(H47&gt;=1,"Cartão vermelho",IF(G47&gt;=2,"Dois amarelos",""))</f>
        <v/>
      </c>
    </row>
    <row r="48">
      <c r="E48">
        <f>IF(D48="","",IFERROR(INDEX(Cadastro_Atletas!$C$2:$C$401,MATCH(D48,Cadastro_Atletas!$D$2:$D$401,0)),""))</f>
        <v/>
      </c>
      <c r="I48">
        <f>IF(OR(G48&gt;=2,H48&gt;=1),"Sim","Não")</f>
        <v/>
      </c>
      <c r="J48">
        <f>IF(H48&gt;=1,"Cartão vermelho",IF(G48&gt;=2,"Dois amarelos",""))</f>
        <v/>
      </c>
    </row>
    <row r="49">
      <c r="E49">
        <f>IF(D49="","",IFERROR(INDEX(Cadastro_Atletas!$C$2:$C$401,MATCH(D49,Cadastro_Atletas!$D$2:$D$401,0)),""))</f>
        <v/>
      </c>
      <c r="I49">
        <f>IF(OR(G49&gt;=2,H49&gt;=1),"Sim","Não")</f>
        <v/>
      </c>
      <c r="J49">
        <f>IF(H49&gt;=1,"Cartão vermelho",IF(G49&gt;=2,"Dois amarelos",""))</f>
        <v/>
      </c>
    </row>
    <row r="50">
      <c r="E50">
        <f>IF(D50="","",IFERROR(INDEX(Cadastro_Atletas!$C$2:$C$401,MATCH(D50,Cadastro_Atletas!$D$2:$D$401,0)),""))</f>
        <v/>
      </c>
      <c r="I50">
        <f>IF(OR(G50&gt;=2,H50&gt;=1),"Sim","Não")</f>
        <v/>
      </c>
      <c r="J50">
        <f>IF(H50&gt;=1,"Cartão vermelho",IF(G50&gt;=2,"Dois amarelos",""))</f>
        <v/>
      </c>
    </row>
    <row r="51">
      <c r="E51">
        <f>IF(D51="","",IFERROR(INDEX(Cadastro_Atletas!$C$2:$C$401,MATCH(D51,Cadastro_Atletas!$D$2:$D$401,0)),""))</f>
        <v/>
      </c>
      <c r="I51">
        <f>IF(OR(G51&gt;=2,H51&gt;=1),"Sim","Não")</f>
        <v/>
      </c>
      <c r="J51">
        <f>IF(H51&gt;=1,"Cartão vermelho",IF(G51&gt;=2,"Dois amarelos",""))</f>
        <v/>
      </c>
    </row>
    <row r="52">
      <c r="E52">
        <f>IF(D52="","",IFERROR(INDEX(Cadastro_Atletas!$C$2:$C$401,MATCH(D52,Cadastro_Atletas!$D$2:$D$401,0)),""))</f>
        <v/>
      </c>
      <c r="I52">
        <f>IF(OR(G52&gt;=2,H52&gt;=1),"Sim","Não")</f>
        <v/>
      </c>
      <c r="J52">
        <f>IF(H52&gt;=1,"Cartão vermelho",IF(G52&gt;=2,"Dois amarelos",""))</f>
        <v/>
      </c>
    </row>
    <row r="53">
      <c r="E53">
        <f>IF(D53="","",IFERROR(INDEX(Cadastro_Atletas!$C$2:$C$401,MATCH(D53,Cadastro_Atletas!$D$2:$D$401,0)),""))</f>
        <v/>
      </c>
      <c r="I53">
        <f>IF(OR(G53&gt;=2,H53&gt;=1),"Sim","Não")</f>
        <v/>
      </c>
      <c r="J53">
        <f>IF(H53&gt;=1,"Cartão vermelho",IF(G53&gt;=2,"Dois amarelos",""))</f>
        <v/>
      </c>
    </row>
    <row r="54">
      <c r="E54">
        <f>IF(D54="","",IFERROR(INDEX(Cadastro_Atletas!$C$2:$C$401,MATCH(D54,Cadastro_Atletas!$D$2:$D$401,0)),""))</f>
        <v/>
      </c>
      <c r="I54">
        <f>IF(OR(G54&gt;=2,H54&gt;=1),"Sim","Não")</f>
        <v/>
      </c>
      <c r="J54">
        <f>IF(H54&gt;=1,"Cartão vermelho",IF(G54&gt;=2,"Dois amarelos",""))</f>
        <v/>
      </c>
    </row>
    <row r="55">
      <c r="E55">
        <f>IF(D55="","",IFERROR(INDEX(Cadastro_Atletas!$C$2:$C$401,MATCH(D55,Cadastro_Atletas!$D$2:$D$401,0)),""))</f>
        <v/>
      </c>
      <c r="I55">
        <f>IF(OR(G55&gt;=2,H55&gt;=1),"Sim","Não")</f>
        <v/>
      </c>
      <c r="J55">
        <f>IF(H55&gt;=1,"Cartão vermelho",IF(G55&gt;=2,"Dois amarelos",""))</f>
        <v/>
      </c>
    </row>
    <row r="56">
      <c r="E56">
        <f>IF(D56="","",IFERROR(INDEX(Cadastro_Atletas!$C$2:$C$401,MATCH(D56,Cadastro_Atletas!$D$2:$D$401,0)),""))</f>
        <v/>
      </c>
      <c r="I56">
        <f>IF(OR(G56&gt;=2,H56&gt;=1),"Sim","Não")</f>
        <v/>
      </c>
      <c r="J56">
        <f>IF(H56&gt;=1,"Cartão vermelho",IF(G56&gt;=2,"Dois amarelos",""))</f>
        <v/>
      </c>
    </row>
    <row r="57">
      <c r="E57">
        <f>IF(D57="","",IFERROR(INDEX(Cadastro_Atletas!$C$2:$C$401,MATCH(D57,Cadastro_Atletas!$D$2:$D$401,0)),""))</f>
        <v/>
      </c>
      <c r="I57">
        <f>IF(OR(G57&gt;=2,H57&gt;=1),"Sim","Não")</f>
        <v/>
      </c>
      <c r="J57">
        <f>IF(H57&gt;=1,"Cartão vermelho",IF(G57&gt;=2,"Dois amarelos",""))</f>
        <v/>
      </c>
    </row>
    <row r="58">
      <c r="E58">
        <f>IF(D58="","",IFERROR(INDEX(Cadastro_Atletas!$C$2:$C$401,MATCH(D58,Cadastro_Atletas!$D$2:$D$401,0)),""))</f>
        <v/>
      </c>
      <c r="I58">
        <f>IF(OR(G58&gt;=2,H58&gt;=1),"Sim","Não")</f>
        <v/>
      </c>
      <c r="J58">
        <f>IF(H58&gt;=1,"Cartão vermelho",IF(G58&gt;=2,"Dois amarelos",""))</f>
        <v/>
      </c>
    </row>
    <row r="59">
      <c r="E59">
        <f>IF(D59="","",IFERROR(INDEX(Cadastro_Atletas!$C$2:$C$401,MATCH(D59,Cadastro_Atletas!$D$2:$D$401,0)),""))</f>
        <v/>
      </c>
      <c r="I59">
        <f>IF(OR(G59&gt;=2,H59&gt;=1),"Sim","Não")</f>
        <v/>
      </c>
      <c r="J59">
        <f>IF(H59&gt;=1,"Cartão vermelho",IF(G59&gt;=2,"Dois amarelos",""))</f>
        <v/>
      </c>
    </row>
    <row r="60">
      <c r="E60">
        <f>IF(D60="","",IFERROR(INDEX(Cadastro_Atletas!$C$2:$C$401,MATCH(D60,Cadastro_Atletas!$D$2:$D$401,0)),""))</f>
        <v/>
      </c>
      <c r="I60">
        <f>IF(OR(G60&gt;=2,H60&gt;=1),"Sim","Não")</f>
        <v/>
      </c>
      <c r="J60">
        <f>IF(H60&gt;=1,"Cartão vermelho",IF(G60&gt;=2,"Dois amarelos",""))</f>
        <v/>
      </c>
    </row>
    <row r="61">
      <c r="E61">
        <f>IF(D61="","",IFERROR(INDEX(Cadastro_Atletas!$C$2:$C$401,MATCH(D61,Cadastro_Atletas!$D$2:$D$401,0)),""))</f>
        <v/>
      </c>
      <c r="I61">
        <f>IF(OR(G61&gt;=2,H61&gt;=1),"Sim","Não")</f>
        <v/>
      </c>
      <c r="J61">
        <f>IF(H61&gt;=1,"Cartão vermelho",IF(G61&gt;=2,"Dois amarelos",""))</f>
        <v/>
      </c>
    </row>
    <row r="62">
      <c r="E62">
        <f>IF(D62="","",IFERROR(INDEX(Cadastro_Atletas!$C$2:$C$401,MATCH(D62,Cadastro_Atletas!$D$2:$D$401,0)),""))</f>
        <v/>
      </c>
      <c r="I62">
        <f>IF(OR(G62&gt;=2,H62&gt;=1),"Sim","Não")</f>
        <v/>
      </c>
      <c r="J62">
        <f>IF(H62&gt;=1,"Cartão vermelho",IF(G62&gt;=2,"Dois amarelos",""))</f>
        <v/>
      </c>
    </row>
    <row r="63">
      <c r="E63">
        <f>IF(D63="","",IFERROR(INDEX(Cadastro_Atletas!$C$2:$C$401,MATCH(D63,Cadastro_Atletas!$D$2:$D$401,0)),""))</f>
        <v/>
      </c>
      <c r="I63">
        <f>IF(OR(G63&gt;=2,H63&gt;=1),"Sim","Não")</f>
        <v/>
      </c>
      <c r="J63">
        <f>IF(H63&gt;=1,"Cartão vermelho",IF(G63&gt;=2,"Dois amarelos",""))</f>
        <v/>
      </c>
    </row>
    <row r="64">
      <c r="E64">
        <f>IF(D64="","",IFERROR(INDEX(Cadastro_Atletas!$C$2:$C$401,MATCH(D64,Cadastro_Atletas!$D$2:$D$401,0)),""))</f>
        <v/>
      </c>
      <c r="I64">
        <f>IF(OR(G64&gt;=2,H64&gt;=1),"Sim","Não")</f>
        <v/>
      </c>
      <c r="J64">
        <f>IF(H64&gt;=1,"Cartão vermelho",IF(G64&gt;=2,"Dois amarelos",""))</f>
        <v/>
      </c>
    </row>
    <row r="65">
      <c r="E65">
        <f>IF(D65="","",IFERROR(INDEX(Cadastro_Atletas!$C$2:$C$401,MATCH(D65,Cadastro_Atletas!$D$2:$D$401,0)),""))</f>
        <v/>
      </c>
      <c r="I65">
        <f>IF(OR(G65&gt;=2,H65&gt;=1),"Sim","Não")</f>
        <v/>
      </c>
      <c r="J65">
        <f>IF(H65&gt;=1,"Cartão vermelho",IF(G65&gt;=2,"Dois amarelos",""))</f>
        <v/>
      </c>
    </row>
    <row r="66">
      <c r="E66">
        <f>IF(D66="","",IFERROR(INDEX(Cadastro_Atletas!$C$2:$C$401,MATCH(D66,Cadastro_Atletas!$D$2:$D$401,0)),""))</f>
        <v/>
      </c>
      <c r="I66">
        <f>IF(OR(G66&gt;=2,H66&gt;=1),"Sim","Não")</f>
        <v/>
      </c>
      <c r="J66">
        <f>IF(H66&gt;=1,"Cartão vermelho",IF(G66&gt;=2,"Dois amarelos",""))</f>
        <v/>
      </c>
    </row>
    <row r="67">
      <c r="E67">
        <f>IF(D67="","",IFERROR(INDEX(Cadastro_Atletas!$C$2:$C$401,MATCH(D67,Cadastro_Atletas!$D$2:$D$401,0)),""))</f>
        <v/>
      </c>
      <c r="I67">
        <f>IF(OR(G67&gt;=2,H67&gt;=1),"Sim","Não")</f>
        <v/>
      </c>
      <c r="J67">
        <f>IF(H67&gt;=1,"Cartão vermelho",IF(G67&gt;=2,"Dois amarelos",""))</f>
        <v/>
      </c>
    </row>
    <row r="68">
      <c r="E68">
        <f>IF(D68="","",IFERROR(INDEX(Cadastro_Atletas!$C$2:$C$401,MATCH(D68,Cadastro_Atletas!$D$2:$D$401,0)),""))</f>
        <v/>
      </c>
      <c r="I68">
        <f>IF(OR(G68&gt;=2,H68&gt;=1),"Sim","Não")</f>
        <v/>
      </c>
      <c r="J68">
        <f>IF(H68&gt;=1,"Cartão vermelho",IF(G68&gt;=2,"Dois amarelos",""))</f>
        <v/>
      </c>
    </row>
    <row r="69">
      <c r="E69">
        <f>IF(D69="","",IFERROR(INDEX(Cadastro_Atletas!$C$2:$C$401,MATCH(D69,Cadastro_Atletas!$D$2:$D$401,0)),""))</f>
        <v/>
      </c>
      <c r="I69">
        <f>IF(OR(G69&gt;=2,H69&gt;=1),"Sim","Não")</f>
        <v/>
      </c>
      <c r="J69">
        <f>IF(H69&gt;=1,"Cartão vermelho",IF(G69&gt;=2,"Dois amarelos",""))</f>
        <v/>
      </c>
    </row>
    <row r="70">
      <c r="E70">
        <f>IF(D70="","",IFERROR(INDEX(Cadastro_Atletas!$C$2:$C$401,MATCH(D70,Cadastro_Atletas!$D$2:$D$401,0)),""))</f>
        <v/>
      </c>
      <c r="I70">
        <f>IF(OR(G70&gt;=2,H70&gt;=1),"Sim","Não")</f>
        <v/>
      </c>
      <c r="J70">
        <f>IF(H70&gt;=1,"Cartão vermelho",IF(G70&gt;=2,"Dois amarelos",""))</f>
        <v/>
      </c>
    </row>
    <row r="71">
      <c r="E71">
        <f>IF(D71="","",IFERROR(INDEX(Cadastro_Atletas!$C$2:$C$401,MATCH(D71,Cadastro_Atletas!$D$2:$D$401,0)),""))</f>
        <v/>
      </c>
      <c r="I71">
        <f>IF(OR(G71&gt;=2,H71&gt;=1),"Sim","Não")</f>
        <v/>
      </c>
      <c r="J71">
        <f>IF(H71&gt;=1,"Cartão vermelho",IF(G71&gt;=2,"Dois amarelos",""))</f>
        <v/>
      </c>
    </row>
    <row r="72">
      <c r="E72">
        <f>IF(D72="","",IFERROR(INDEX(Cadastro_Atletas!$C$2:$C$401,MATCH(D72,Cadastro_Atletas!$D$2:$D$401,0)),""))</f>
        <v/>
      </c>
      <c r="I72">
        <f>IF(OR(G72&gt;=2,H72&gt;=1),"Sim","Não")</f>
        <v/>
      </c>
      <c r="J72">
        <f>IF(H72&gt;=1,"Cartão vermelho",IF(G72&gt;=2,"Dois amarelos",""))</f>
        <v/>
      </c>
    </row>
    <row r="73">
      <c r="E73">
        <f>IF(D73="","",IFERROR(INDEX(Cadastro_Atletas!$C$2:$C$401,MATCH(D73,Cadastro_Atletas!$D$2:$D$401,0)),""))</f>
        <v/>
      </c>
      <c r="I73">
        <f>IF(OR(G73&gt;=2,H73&gt;=1),"Sim","Não")</f>
        <v/>
      </c>
      <c r="J73">
        <f>IF(H73&gt;=1,"Cartão vermelho",IF(G73&gt;=2,"Dois amarelos",""))</f>
        <v/>
      </c>
    </row>
    <row r="74">
      <c r="E74">
        <f>IF(D74="","",IFERROR(INDEX(Cadastro_Atletas!$C$2:$C$401,MATCH(D74,Cadastro_Atletas!$D$2:$D$401,0)),""))</f>
        <v/>
      </c>
      <c r="I74">
        <f>IF(OR(G74&gt;=2,H74&gt;=1),"Sim","Não")</f>
        <v/>
      </c>
      <c r="J74">
        <f>IF(H74&gt;=1,"Cartão vermelho",IF(G74&gt;=2,"Dois amarelos",""))</f>
        <v/>
      </c>
    </row>
    <row r="75">
      <c r="E75">
        <f>IF(D75="","",IFERROR(INDEX(Cadastro_Atletas!$C$2:$C$401,MATCH(D75,Cadastro_Atletas!$D$2:$D$401,0)),""))</f>
        <v/>
      </c>
      <c r="I75">
        <f>IF(OR(G75&gt;=2,H75&gt;=1),"Sim","Não")</f>
        <v/>
      </c>
      <c r="J75">
        <f>IF(H75&gt;=1,"Cartão vermelho",IF(G75&gt;=2,"Dois amarelos",""))</f>
        <v/>
      </c>
    </row>
    <row r="76">
      <c r="E76">
        <f>IF(D76="","",IFERROR(INDEX(Cadastro_Atletas!$C$2:$C$401,MATCH(D76,Cadastro_Atletas!$D$2:$D$401,0)),""))</f>
        <v/>
      </c>
      <c r="I76">
        <f>IF(OR(G76&gt;=2,H76&gt;=1),"Sim","Não")</f>
        <v/>
      </c>
      <c r="J76">
        <f>IF(H76&gt;=1,"Cartão vermelho",IF(G76&gt;=2,"Dois amarelos",""))</f>
        <v/>
      </c>
    </row>
    <row r="77">
      <c r="E77">
        <f>IF(D77="","",IFERROR(INDEX(Cadastro_Atletas!$C$2:$C$401,MATCH(D77,Cadastro_Atletas!$D$2:$D$401,0)),""))</f>
        <v/>
      </c>
      <c r="I77">
        <f>IF(OR(G77&gt;=2,H77&gt;=1),"Sim","Não")</f>
        <v/>
      </c>
      <c r="J77">
        <f>IF(H77&gt;=1,"Cartão vermelho",IF(G77&gt;=2,"Dois amarelos",""))</f>
        <v/>
      </c>
    </row>
    <row r="78">
      <c r="E78">
        <f>IF(D78="","",IFERROR(INDEX(Cadastro_Atletas!$C$2:$C$401,MATCH(D78,Cadastro_Atletas!$D$2:$D$401,0)),""))</f>
        <v/>
      </c>
      <c r="I78">
        <f>IF(OR(G78&gt;=2,H78&gt;=1),"Sim","Não")</f>
        <v/>
      </c>
      <c r="J78">
        <f>IF(H78&gt;=1,"Cartão vermelho",IF(G78&gt;=2,"Dois amarelos",""))</f>
        <v/>
      </c>
    </row>
    <row r="79">
      <c r="E79">
        <f>IF(D79="","",IFERROR(INDEX(Cadastro_Atletas!$C$2:$C$401,MATCH(D79,Cadastro_Atletas!$D$2:$D$401,0)),""))</f>
        <v/>
      </c>
      <c r="I79">
        <f>IF(OR(G79&gt;=2,H79&gt;=1),"Sim","Não")</f>
        <v/>
      </c>
      <c r="J79">
        <f>IF(H79&gt;=1,"Cartão vermelho",IF(G79&gt;=2,"Dois amarelos",""))</f>
        <v/>
      </c>
    </row>
    <row r="80">
      <c r="E80">
        <f>IF(D80="","",IFERROR(INDEX(Cadastro_Atletas!$C$2:$C$401,MATCH(D80,Cadastro_Atletas!$D$2:$D$401,0)),""))</f>
        <v/>
      </c>
      <c r="I80">
        <f>IF(OR(G80&gt;=2,H80&gt;=1),"Sim","Não")</f>
        <v/>
      </c>
      <c r="J80">
        <f>IF(H80&gt;=1,"Cartão vermelho",IF(G80&gt;=2,"Dois amarelos",""))</f>
        <v/>
      </c>
    </row>
    <row r="81">
      <c r="E81">
        <f>IF(D81="","",IFERROR(INDEX(Cadastro_Atletas!$C$2:$C$401,MATCH(D81,Cadastro_Atletas!$D$2:$D$401,0)),""))</f>
        <v/>
      </c>
      <c r="I81">
        <f>IF(OR(G81&gt;=2,H81&gt;=1),"Sim","Não")</f>
        <v/>
      </c>
      <c r="J81">
        <f>IF(H81&gt;=1,"Cartão vermelho",IF(G81&gt;=2,"Dois amarelos",""))</f>
        <v/>
      </c>
    </row>
    <row r="82">
      <c r="E82">
        <f>IF(D82="","",IFERROR(INDEX(Cadastro_Atletas!$C$2:$C$401,MATCH(D82,Cadastro_Atletas!$D$2:$D$401,0)),""))</f>
        <v/>
      </c>
      <c r="I82">
        <f>IF(OR(G82&gt;=2,H82&gt;=1),"Sim","Não")</f>
        <v/>
      </c>
      <c r="J82">
        <f>IF(H82&gt;=1,"Cartão vermelho",IF(G82&gt;=2,"Dois amarelos",""))</f>
        <v/>
      </c>
    </row>
    <row r="83">
      <c r="E83">
        <f>IF(D83="","",IFERROR(INDEX(Cadastro_Atletas!$C$2:$C$401,MATCH(D83,Cadastro_Atletas!$D$2:$D$401,0)),""))</f>
        <v/>
      </c>
      <c r="I83">
        <f>IF(OR(G83&gt;=2,H83&gt;=1),"Sim","Não")</f>
        <v/>
      </c>
      <c r="J83">
        <f>IF(H83&gt;=1,"Cartão vermelho",IF(G83&gt;=2,"Dois amarelos",""))</f>
        <v/>
      </c>
    </row>
    <row r="84">
      <c r="E84">
        <f>IF(D84="","",IFERROR(INDEX(Cadastro_Atletas!$C$2:$C$401,MATCH(D84,Cadastro_Atletas!$D$2:$D$401,0)),""))</f>
        <v/>
      </c>
      <c r="I84">
        <f>IF(OR(G84&gt;=2,H84&gt;=1),"Sim","Não")</f>
        <v/>
      </c>
      <c r="J84">
        <f>IF(H84&gt;=1,"Cartão vermelho",IF(G84&gt;=2,"Dois amarelos",""))</f>
        <v/>
      </c>
    </row>
    <row r="85">
      <c r="E85">
        <f>IF(D85="","",IFERROR(INDEX(Cadastro_Atletas!$C$2:$C$401,MATCH(D85,Cadastro_Atletas!$D$2:$D$401,0)),""))</f>
        <v/>
      </c>
      <c r="I85">
        <f>IF(OR(G85&gt;=2,H85&gt;=1),"Sim","Não")</f>
        <v/>
      </c>
      <c r="J85">
        <f>IF(H85&gt;=1,"Cartão vermelho",IF(G85&gt;=2,"Dois amarelos",""))</f>
        <v/>
      </c>
    </row>
    <row r="86">
      <c r="E86">
        <f>IF(D86="","",IFERROR(INDEX(Cadastro_Atletas!$C$2:$C$401,MATCH(D86,Cadastro_Atletas!$D$2:$D$401,0)),""))</f>
        <v/>
      </c>
      <c r="I86">
        <f>IF(OR(G86&gt;=2,H86&gt;=1),"Sim","Não")</f>
        <v/>
      </c>
      <c r="J86">
        <f>IF(H86&gt;=1,"Cartão vermelho",IF(G86&gt;=2,"Dois amarelos",""))</f>
        <v/>
      </c>
    </row>
    <row r="87">
      <c r="E87">
        <f>IF(D87="","",IFERROR(INDEX(Cadastro_Atletas!$C$2:$C$401,MATCH(D87,Cadastro_Atletas!$D$2:$D$401,0)),""))</f>
        <v/>
      </c>
      <c r="I87">
        <f>IF(OR(G87&gt;=2,H87&gt;=1),"Sim","Não")</f>
        <v/>
      </c>
      <c r="J87">
        <f>IF(H87&gt;=1,"Cartão vermelho",IF(G87&gt;=2,"Dois amarelos",""))</f>
        <v/>
      </c>
    </row>
    <row r="88">
      <c r="E88">
        <f>IF(D88="","",IFERROR(INDEX(Cadastro_Atletas!$C$2:$C$401,MATCH(D88,Cadastro_Atletas!$D$2:$D$401,0)),""))</f>
        <v/>
      </c>
      <c r="I88">
        <f>IF(OR(G88&gt;=2,H88&gt;=1),"Sim","Não")</f>
        <v/>
      </c>
      <c r="J88">
        <f>IF(H88&gt;=1,"Cartão vermelho",IF(G88&gt;=2,"Dois amarelos",""))</f>
        <v/>
      </c>
    </row>
    <row r="89">
      <c r="E89">
        <f>IF(D89="","",IFERROR(INDEX(Cadastro_Atletas!$C$2:$C$401,MATCH(D89,Cadastro_Atletas!$D$2:$D$401,0)),""))</f>
        <v/>
      </c>
      <c r="I89">
        <f>IF(OR(G89&gt;=2,H89&gt;=1),"Sim","Não")</f>
        <v/>
      </c>
      <c r="J89">
        <f>IF(H89&gt;=1,"Cartão vermelho",IF(G89&gt;=2,"Dois amarelos",""))</f>
        <v/>
      </c>
    </row>
    <row r="90">
      <c r="E90">
        <f>IF(D90="","",IFERROR(INDEX(Cadastro_Atletas!$C$2:$C$401,MATCH(D90,Cadastro_Atletas!$D$2:$D$401,0)),""))</f>
        <v/>
      </c>
      <c r="I90">
        <f>IF(OR(G90&gt;=2,H90&gt;=1),"Sim","Não")</f>
        <v/>
      </c>
      <c r="J90">
        <f>IF(H90&gt;=1,"Cartão vermelho",IF(G90&gt;=2,"Dois amarelos",""))</f>
        <v/>
      </c>
    </row>
    <row r="91">
      <c r="E91">
        <f>IF(D91="","",IFERROR(INDEX(Cadastro_Atletas!$C$2:$C$401,MATCH(D91,Cadastro_Atletas!$D$2:$D$401,0)),""))</f>
        <v/>
      </c>
      <c r="I91">
        <f>IF(OR(G91&gt;=2,H91&gt;=1),"Sim","Não")</f>
        <v/>
      </c>
      <c r="J91">
        <f>IF(H91&gt;=1,"Cartão vermelho",IF(G91&gt;=2,"Dois amarelos",""))</f>
        <v/>
      </c>
    </row>
    <row r="92">
      <c r="E92">
        <f>IF(D92="","",IFERROR(INDEX(Cadastro_Atletas!$C$2:$C$401,MATCH(D92,Cadastro_Atletas!$D$2:$D$401,0)),""))</f>
        <v/>
      </c>
      <c r="I92">
        <f>IF(OR(G92&gt;=2,H92&gt;=1),"Sim","Não")</f>
        <v/>
      </c>
      <c r="J92">
        <f>IF(H92&gt;=1,"Cartão vermelho",IF(G92&gt;=2,"Dois amarelos",""))</f>
        <v/>
      </c>
    </row>
    <row r="93">
      <c r="E93">
        <f>IF(D93="","",IFERROR(INDEX(Cadastro_Atletas!$C$2:$C$401,MATCH(D93,Cadastro_Atletas!$D$2:$D$401,0)),""))</f>
        <v/>
      </c>
      <c r="I93">
        <f>IF(OR(G93&gt;=2,H93&gt;=1),"Sim","Não")</f>
        <v/>
      </c>
      <c r="J93">
        <f>IF(H93&gt;=1,"Cartão vermelho",IF(G93&gt;=2,"Dois amarelos",""))</f>
        <v/>
      </c>
    </row>
    <row r="94">
      <c r="E94">
        <f>IF(D94="","",IFERROR(INDEX(Cadastro_Atletas!$C$2:$C$401,MATCH(D94,Cadastro_Atletas!$D$2:$D$401,0)),""))</f>
        <v/>
      </c>
      <c r="I94">
        <f>IF(OR(G94&gt;=2,H94&gt;=1),"Sim","Não")</f>
        <v/>
      </c>
      <c r="J94">
        <f>IF(H94&gt;=1,"Cartão vermelho",IF(G94&gt;=2,"Dois amarelos",""))</f>
        <v/>
      </c>
    </row>
    <row r="95">
      <c r="E95">
        <f>IF(D95="","",IFERROR(INDEX(Cadastro_Atletas!$C$2:$C$401,MATCH(D95,Cadastro_Atletas!$D$2:$D$401,0)),""))</f>
        <v/>
      </c>
      <c r="I95">
        <f>IF(OR(G95&gt;=2,H95&gt;=1),"Sim","Não")</f>
        <v/>
      </c>
      <c r="J95">
        <f>IF(H95&gt;=1,"Cartão vermelho",IF(G95&gt;=2,"Dois amarelos",""))</f>
        <v/>
      </c>
    </row>
    <row r="96">
      <c r="E96">
        <f>IF(D96="","",IFERROR(INDEX(Cadastro_Atletas!$C$2:$C$401,MATCH(D96,Cadastro_Atletas!$D$2:$D$401,0)),""))</f>
        <v/>
      </c>
      <c r="I96">
        <f>IF(OR(G96&gt;=2,H96&gt;=1),"Sim","Não")</f>
        <v/>
      </c>
      <c r="J96">
        <f>IF(H96&gt;=1,"Cartão vermelho",IF(G96&gt;=2,"Dois amarelos",""))</f>
        <v/>
      </c>
    </row>
    <row r="97">
      <c r="E97">
        <f>IF(D97="","",IFERROR(INDEX(Cadastro_Atletas!$C$2:$C$401,MATCH(D97,Cadastro_Atletas!$D$2:$D$401,0)),""))</f>
        <v/>
      </c>
      <c r="I97">
        <f>IF(OR(G97&gt;=2,H97&gt;=1),"Sim","Não")</f>
        <v/>
      </c>
      <c r="J97">
        <f>IF(H97&gt;=1,"Cartão vermelho",IF(G97&gt;=2,"Dois amarelos",""))</f>
        <v/>
      </c>
    </row>
    <row r="98">
      <c r="E98">
        <f>IF(D98="","",IFERROR(INDEX(Cadastro_Atletas!$C$2:$C$401,MATCH(D98,Cadastro_Atletas!$D$2:$D$401,0)),""))</f>
        <v/>
      </c>
      <c r="I98">
        <f>IF(OR(G98&gt;=2,H98&gt;=1),"Sim","Não")</f>
        <v/>
      </c>
      <c r="J98">
        <f>IF(H98&gt;=1,"Cartão vermelho",IF(G98&gt;=2,"Dois amarelos",""))</f>
        <v/>
      </c>
    </row>
    <row r="99">
      <c r="E99">
        <f>IF(D99="","",IFERROR(INDEX(Cadastro_Atletas!$C$2:$C$401,MATCH(D99,Cadastro_Atletas!$D$2:$D$401,0)),""))</f>
        <v/>
      </c>
      <c r="I99">
        <f>IF(OR(G99&gt;=2,H99&gt;=1),"Sim","Não")</f>
        <v/>
      </c>
      <c r="J99">
        <f>IF(H99&gt;=1,"Cartão vermelho",IF(G99&gt;=2,"Dois amarelos",""))</f>
        <v/>
      </c>
    </row>
    <row r="100">
      <c r="E100">
        <f>IF(D100="","",IFERROR(INDEX(Cadastro_Atletas!$C$2:$C$401,MATCH(D100,Cadastro_Atletas!$D$2:$D$401,0)),""))</f>
        <v/>
      </c>
      <c r="I100">
        <f>IF(OR(G100&gt;=2,H100&gt;=1),"Sim","Não")</f>
        <v/>
      </c>
      <c r="J100">
        <f>IF(H100&gt;=1,"Cartão vermelho",IF(G100&gt;=2,"Dois amarelos",""))</f>
        <v/>
      </c>
    </row>
    <row r="101">
      <c r="E101">
        <f>IF(D101="","",IFERROR(INDEX(Cadastro_Atletas!$C$2:$C$401,MATCH(D101,Cadastro_Atletas!$D$2:$D$401,0)),""))</f>
        <v/>
      </c>
      <c r="I101">
        <f>IF(OR(G101&gt;=2,H101&gt;=1),"Sim","Não")</f>
        <v/>
      </c>
      <c r="J101">
        <f>IF(H101&gt;=1,"Cartão vermelho",IF(G101&gt;=2,"Dois amarelos",""))</f>
        <v/>
      </c>
    </row>
    <row r="102">
      <c r="E102">
        <f>IF(D102="","",IFERROR(INDEX(Cadastro_Atletas!$C$2:$C$401,MATCH(D102,Cadastro_Atletas!$D$2:$D$401,0)),""))</f>
        <v/>
      </c>
      <c r="I102">
        <f>IF(OR(G102&gt;=2,H102&gt;=1),"Sim","Não")</f>
        <v/>
      </c>
      <c r="J102">
        <f>IF(H102&gt;=1,"Cartão vermelho",IF(G102&gt;=2,"Dois amarelos",""))</f>
        <v/>
      </c>
    </row>
    <row r="103">
      <c r="E103">
        <f>IF(D103="","",IFERROR(INDEX(Cadastro_Atletas!$C$2:$C$401,MATCH(D103,Cadastro_Atletas!$D$2:$D$401,0)),""))</f>
        <v/>
      </c>
      <c r="I103">
        <f>IF(OR(G103&gt;=2,H103&gt;=1),"Sim","Não")</f>
        <v/>
      </c>
      <c r="J103">
        <f>IF(H103&gt;=1,"Cartão vermelho",IF(G103&gt;=2,"Dois amarelos",""))</f>
        <v/>
      </c>
    </row>
    <row r="104">
      <c r="E104">
        <f>IF(D104="","",IFERROR(INDEX(Cadastro_Atletas!$C$2:$C$401,MATCH(D104,Cadastro_Atletas!$D$2:$D$401,0)),""))</f>
        <v/>
      </c>
      <c r="I104">
        <f>IF(OR(G104&gt;=2,H104&gt;=1),"Sim","Não")</f>
        <v/>
      </c>
      <c r="J104">
        <f>IF(H104&gt;=1,"Cartão vermelho",IF(G104&gt;=2,"Dois amarelos",""))</f>
        <v/>
      </c>
    </row>
    <row r="105">
      <c r="E105">
        <f>IF(D105="","",IFERROR(INDEX(Cadastro_Atletas!$C$2:$C$401,MATCH(D105,Cadastro_Atletas!$D$2:$D$401,0)),""))</f>
        <v/>
      </c>
      <c r="I105">
        <f>IF(OR(G105&gt;=2,H105&gt;=1),"Sim","Não")</f>
        <v/>
      </c>
      <c r="J105">
        <f>IF(H105&gt;=1,"Cartão vermelho",IF(G105&gt;=2,"Dois amarelos",""))</f>
        <v/>
      </c>
    </row>
    <row r="106">
      <c r="E106">
        <f>IF(D106="","",IFERROR(INDEX(Cadastro_Atletas!$C$2:$C$401,MATCH(D106,Cadastro_Atletas!$D$2:$D$401,0)),""))</f>
        <v/>
      </c>
      <c r="I106">
        <f>IF(OR(G106&gt;=2,H106&gt;=1),"Sim","Não")</f>
        <v/>
      </c>
      <c r="J106">
        <f>IF(H106&gt;=1,"Cartão vermelho",IF(G106&gt;=2,"Dois amarelos",""))</f>
        <v/>
      </c>
    </row>
    <row r="107">
      <c r="E107">
        <f>IF(D107="","",IFERROR(INDEX(Cadastro_Atletas!$C$2:$C$401,MATCH(D107,Cadastro_Atletas!$D$2:$D$401,0)),""))</f>
        <v/>
      </c>
      <c r="I107">
        <f>IF(OR(G107&gt;=2,H107&gt;=1),"Sim","Não")</f>
        <v/>
      </c>
      <c r="J107">
        <f>IF(H107&gt;=1,"Cartão vermelho",IF(G107&gt;=2,"Dois amarelos",""))</f>
        <v/>
      </c>
    </row>
    <row r="108">
      <c r="E108">
        <f>IF(D108="","",IFERROR(INDEX(Cadastro_Atletas!$C$2:$C$401,MATCH(D108,Cadastro_Atletas!$D$2:$D$401,0)),""))</f>
        <v/>
      </c>
      <c r="I108">
        <f>IF(OR(G108&gt;=2,H108&gt;=1),"Sim","Não")</f>
        <v/>
      </c>
      <c r="J108">
        <f>IF(H108&gt;=1,"Cartão vermelho",IF(G108&gt;=2,"Dois amarelos",""))</f>
        <v/>
      </c>
    </row>
    <row r="109">
      <c r="E109">
        <f>IF(D109="","",IFERROR(INDEX(Cadastro_Atletas!$C$2:$C$401,MATCH(D109,Cadastro_Atletas!$D$2:$D$401,0)),""))</f>
        <v/>
      </c>
      <c r="I109">
        <f>IF(OR(G109&gt;=2,H109&gt;=1),"Sim","Não")</f>
        <v/>
      </c>
      <c r="J109">
        <f>IF(H109&gt;=1,"Cartão vermelho",IF(G109&gt;=2,"Dois amarelos",""))</f>
        <v/>
      </c>
    </row>
    <row r="110">
      <c r="E110">
        <f>IF(D110="","",IFERROR(INDEX(Cadastro_Atletas!$C$2:$C$401,MATCH(D110,Cadastro_Atletas!$D$2:$D$401,0)),""))</f>
        <v/>
      </c>
      <c r="I110">
        <f>IF(OR(G110&gt;=2,H110&gt;=1),"Sim","Não")</f>
        <v/>
      </c>
      <c r="J110">
        <f>IF(H110&gt;=1,"Cartão vermelho",IF(G110&gt;=2,"Dois amarelos",""))</f>
        <v/>
      </c>
    </row>
    <row r="111">
      <c r="E111">
        <f>IF(D111="","",IFERROR(INDEX(Cadastro_Atletas!$C$2:$C$401,MATCH(D111,Cadastro_Atletas!$D$2:$D$401,0)),""))</f>
        <v/>
      </c>
      <c r="I111">
        <f>IF(OR(G111&gt;=2,H111&gt;=1),"Sim","Não")</f>
        <v/>
      </c>
      <c r="J111">
        <f>IF(H111&gt;=1,"Cartão vermelho",IF(G111&gt;=2,"Dois amarelos",""))</f>
        <v/>
      </c>
    </row>
    <row r="112">
      <c r="E112">
        <f>IF(D112="","",IFERROR(INDEX(Cadastro_Atletas!$C$2:$C$401,MATCH(D112,Cadastro_Atletas!$D$2:$D$401,0)),""))</f>
        <v/>
      </c>
      <c r="I112">
        <f>IF(OR(G112&gt;=2,H112&gt;=1),"Sim","Não")</f>
        <v/>
      </c>
      <c r="J112">
        <f>IF(H112&gt;=1,"Cartão vermelho",IF(G112&gt;=2,"Dois amarelos",""))</f>
        <v/>
      </c>
    </row>
    <row r="113">
      <c r="E113">
        <f>IF(D113="","",IFERROR(INDEX(Cadastro_Atletas!$C$2:$C$401,MATCH(D113,Cadastro_Atletas!$D$2:$D$401,0)),""))</f>
        <v/>
      </c>
      <c r="I113">
        <f>IF(OR(G113&gt;=2,H113&gt;=1),"Sim","Não")</f>
        <v/>
      </c>
      <c r="J113">
        <f>IF(H113&gt;=1,"Cartão vermelho",IF(G113&gt;=2,"Dois amarelos",""))</f>
        <v/>
      </c>
    </row>
    <row r="114">
      <c r="E114">
        <f>IF(D114="","",IFERROR(INDEX(Cadastro_Atletas!$C$2:$C$401,MATCH(D114,Cadastro_Atletas!$D$2:$D$401,0)),""))</f>
        <v/>
      </c>
      <c r="I114">
        <f>IF(OR(G114&gt;=2,H114&gt;=1),"Sim","Não")</f>
        <v/>
      </c>
      <c r="J114">
        <f>IF(H114&gt;=1,"Cartão vermelho",IF(G114&gt;=2,"Dois amarelos",""))</f>
        <v/>
      </c>
    </row>
    <row r="115">
      <c r="E115">
        <f>IF(D115="","",IFERROR(INDEX(Cadastro_Atletas!$C$2:$C$401,MATCH(D115,Cadastro_Atletas!$D$2:$D$401,0)),""))</f>
        <v/>
      </c>
      <c r="I115">
        <f>IF(OR(G115&gt;=2,H115&gt;=1),"Sim","Não")</f>
        <v/>
      </c>
      <c r="J115">
        <f>IF(H115&gt;=1,"Cartão vermelho",IF(G115&gt;=2,"Dois amarelos",""))</f>
        <v/>
      </c>
    </row>
    <row r="116">
      <c r="E116">
        <f>IF(D116="","",IFERROR(INDEX(Cadastro_Atletas!$C$2:$C$401,MATCH(D116,Cadastro_Atletas!$D$2:$D$401,0)),""))</f>
        <v/>
      </c>
      <c r="I116">
        <f>IF(OR(G116&gt;=2,H116&gt;=1),"Sim","Não")</f>
        <v/>
      </c>
      <c r="J116">
        <f>IF(H116&gt;=1,"Cartão vermelho",IF(G116&gt;=2,"Dois amarelos",""))</f>
        <v/>
      </c>
    </row>
    <row r="117">
      <c r="E117">
        <f>IF(D117="","",IFERROR(INDEX(Cadastro_Atletas!$C$2:$C$401,MATCH(D117,Cadastro_Atletas!$D$2:$D$401,0)),""))</f>
        <v/>
      </c>
      <c r="I117">
        <f>IF(OR(G117&gt;=2,H117&gt;=1),"Sim","Não")</f>
        <v/>
      </c>
      <c r="J117">
        <f>IF(H117&gt;=1,"Cartão vermelho",IF(G117&gt;=2,"Dois amarelos",""))</f>
        <v/>
      </c>
    </row>
    <row r="118">
      <c r="E118">
        <f>IF(D118="","",IFERROR(INDEX(Cadastro_Atletas!$C$2:$C$401,MATCH(D118,Cadastro_Atletas!$D$2:$D$401,0)),""))</f>
        <v/>
      </c>
      <c r="I118">
        <f>IF(OR(G118&gt;=2,H118&gt;=1),"Sim","Não")</f>
        <v/>
      </c>
      <c r="J118">
        <f>IF(H118&gt;=1,"Cartão vermelho",IF(G118&gt;=2,"Dois amarelos",""))</f>
        <v/>
      </c>
    </row>
    <row r="119">
      <c r="E119">
        <f>IF(D119="","",IFERROR(INDEX(Cadastro_Atletas!$C$2:$C$401,MATCH(D119,Cadastro_Atletas!$D$2:$D$401,0)),""))</f>
        <v/>
      </c>
      <c r="I119">
        <f>IF(OR(G119&gt;=2,H119&gt;=1),"Sim","Não")</f>
        <v/>
      </c>
      <c r="J119">
        <f>IF(H119&gt;=1,"Cartão vermelho",IF(G119&gt;=2,"Dois amarelos",""))</f>
        <v/>
      </c>
    </row>
    <row r="120">
      <c r="E120">
        <f>IF(D120="","",IFERROR(INDEX(Cadastro_Atletas!$C$2:$C$401,MATCH(D120,Cadastro_Atletas!$D$2:$D$401,0)),""))</f>
        <v/>
      </c>
      <c r="I120">
        <f>IF(OR(G120&gt;=2,H120&gt;=1),"Sim","Não")</f>
        <v/>
      </c>
      <c r="J120">
        <f>IF(H120&gt;=1,"Cartão vermelho",IF(G120&gt;=2,"Dois amarelos",""))</f>
        <v/>
      </c>
    </row>
    <row r="121">
      <c r="E121">
        <f>IF(D121="","",IFERROR(INDEX(Cadastro_Atletas!$C$2:$C$401,MATCH(D121,Cadastro_Atletas!$D$2:$D$401,0)),""))</f>
        <v/>
      </c>
      <c r="I121">
        <f>IF(OR(G121&gt;=2,H121&gt;=1),"Sim","Não")</f>
        <v/>
      </c>
      <c r="J121">
        <f>IF(H121&gt;=1,"Cartão vermelho",IF(G121&gt;=2,"Dois amarelos",""))</f>
        <v/>
      </c>
    </row>
    <row r="122">
      <c r="E122">
        <f>IF(D122="","",IFERROR(INDEX(Cadastro_Atletas!$C$2:$C$401,MATCH(D122,Cadastro_Atletas!$D$2:$D$401,0)),""))</f>
        <v/>
      </c>
      <c r="I122">
        <f>IF(OR(G122&gt;=2,H122&gt;=1),"Sim","Não")</f>
        <v/>
      </c>
      <c r="J122">
        <f>IF(H122&gt;=1,"Cartão vermelho",IF(G122&gt;=2,"Dois amarelos",""))</f>
        <v/>
      </c>
    </row>
    <row r="123">
      <c r="E123">
        <f>IF(D123="","",IFERROR(INDEX(Cadastro_Atletas!$C$2:$C$401,MATCH(D123,Cadastro_Atletas!$D$2:$D$401,0)),""))</f>
        <v/>
      </c>
      <c r="I123">
        <f>IF(OR(G123&gt;=2,H123&gt;=1),"Sim","Não")</f>
        <v/>
      </c>
      <c r="J123">
        <f>IF(H123&gt;=1,"Cartão vermelho",IF(G123&gt;=2,"Dois amarelos",""))</f>
        <v/>
      </c>
    </row>
    <row r="124">
      <c r="E124">
        <f>IF(D124="","",IFERROR(INDEX(Cadastro_Atletas!$C$2:$C$401,MATCH(D124,Cadastro_Atletas!$D$2:$D$401,0)),""))</f>
        <v/>
      </c>
      <c r="I124">
        <f>IF(OR(G124&gt;=2,H124&gt;=1),"Sim","Não")</f>
        <v/>
      </c>
      <c r="J124">
        <f>IF(H124&gt;=1,"Cartão vermelho",IF(G124&gt;=2,"Dois amarelos",""))</f>
        <v/>
      </c>
    </row>
    <row r="125">
      <c r="E125">
        <f>IF(D125="","",IFERROR(INDEX(Cadastro_Atletas!$C$2:$C$401,MATCH(D125,Cadastro_Atletas!$D$2:$D$401,0)),""))</f>
        <v/>
      </c>
      <c r="I125">
        <f>IF(OR(G125&gt;=2,H125&gt;=1),"Sim","Não")</f>
        <v/>
      </c>
      <c r="J125">
        <f>IF(H125&gt;=1,"Cartão vermelho",IF(G125&gt;=2,"Dois amarelos",""))</f>
        <v/>
      </c>
    </row>
    <row r="126">
      <c r="E126">
        <f>IF(D126="","",IFERROR(INDEX(Cadastro_Atletas!$C$2:$C$401,MATCH(D126,Cadastro_Atletas!$D$2:$D$401,0)),""))</f>
        <v/>
      </c>
      <c r="I126">
        <f>IF(OR(G126&gt;=2,H126&gt;=1),"Sim","Não")</f>
        <v/>
      </c>
      <c r="J126">
        <f>IF(H126&gt;=1,"Cartão vermelho",IF(G126&gt;=2,"Dois amarelos",""))</f>
        <v/>
      </c>
    </row>
    <row r="127">
      <c r="E127">
        <f>IF(D127="","",IFERROR(INDEX(Cadastro_Atletas!$C$2:$C$401,MATCH(D127,Cadastro_Atletas!$D$2:$D$401,0)),""))</f>
        <v/>
      </c>
      <c r="I127">
        <f>IF(OR(G127&gt;=2,H127&gt;=1),"Sim","Não")</f>
        <v/>
      </c>
      <c r="J127">
        <f>IF(H127&gt;=1,"Cartão vermelho",IF(G127&gt;=2,"Dois amarelos",""))</f>
        <v/>
      </c>
    </row>
    <row r="128">
      <c r="E128">
        <f>IF(D128="","",IFERROR(INDEX(Cadastro_Atletas!$C$2:$C$401,MATCH(D128,Cadastro_Atletas!$D$2:$D$401,0)),""))</f>
        <v/>
      </c>
      <c r="I128">
        <f>IF(OR(G128&gt;=2,H128&gt;=1),"Sim","Não")</f>
        <v/>
      </c>
      <c r="J128">
        <f>IF(H128&gt;=1,"Cartão vermelho",IF(G128&gt;=2,"Dois amarelos",""))</f>
        <v/>
      </c>
    </row>
    <row r="129">
      <c r="E129">
        <f>IF(D129="","",IFERROR(INDEX(Cadastro_Atletas!$C$2:$C$401,MATCH(D129,Cadastro_Atletas!$D$2:$D$401,0)),""))</f>
        <v/>
      </c>
      <c r="I129">
        <f>IF(OR(G129&gt;=2,H129&gt;=1),"Sim","Não")</f>
        <v/>
      </c>
      <c r="J129">
        <f>IF(H129&gt;=1,"Cartão vermelho",IF(G129&gt;=2,"Dois amarelos",""))</f>
        <v/>
      </c>
    </row>
    <row r="130">
      <c r="E130">
        <f>IF(D130="","",IFERROR(INDEX(Cadastro_Atletas!$C$2:$C$401,MATCH(D130,Cadastro_Atletas!$D$2:$D$401,0)),""))</f>
        <v/>
      </c>
      <c r="I130">
        <f>IF(OR(G130&gt;=2,H130&gt;=1),"Sim","Não")</f>
        <v/>
      </c>
      <c r="J130">
        <f>IF(H130&gt;=1,"Cartão vermelho",IF(G130&gt;=2,"Dois amarelos",""))</f>
        <v/>
      </c>
    </row>
    <row r="131">
      <c r="E131">
        <f>IF(D131="","",IFERROR(INDEX(Cadastro_Atletas!$C$2:$C$401,MATCH(D131,Cadastro_Atletas!$D$2:$D$401,0)),""))</f>
        <v/>
      </c>
      <c r="I131">
        <f>IF(OR(G131&gt;=2,H131&gt;=1),"Sim","Não")</f>
        <v/>
      </c>
      <c r="J131">
        <f>IF(H131&gt;=1,"Cartão vermelho",IF(G131&gt;=2,"Dois amarelos",""))</f>
        <v/>
      </c>
    </row>
    <row r="132">
      <c r="E132">
        <f>IF(D132="","",IFERROR(INDEX(Cadastro_Atletas!$C$2:$C$401,MATCH(D132,Cadastro_Atletas!$D$2:$D$401,0)),""))</f>
        <v/>
      </c>
      <c r="I132">
        <f>IF(OR(G132&gt;=2,H132&gt;=1),"Sim","Não")</f>
        <v/>
      </c>
      <c r="J132">
        <f>IF(H132&gt;=1,"Cartão vermelho",IF(G132&gt;=2,"Dois amarelos",""))</f>
        <v/>
      </c>
    </row>
    <row r="133">
      <c r="E133">
        <f>IF(D133="","",IFERROR(INDEX(Cadastro_Atletas!$C$2:$C$401,MATCH(D133,Cadastro_Atletas!$D$2:$D$401,0)),""))</f>
        <v/>
      </c>
      <c r="I133">
        <f>IF(OR(G133&gt;=2,H133&gt;=1),"Sim","Não")</f>
        <v/>
      </c>
      <c r="J133">
        <f>IF(H133&gt;=1,"Cartão vermelho",IF(G133&gt;=2,"Dois amarelos",""))</f>
        <v/>
      </c>
    </row>
    <row r="134">
      <c r="E134">
        <f>IF(D134="","",IFERROR(INDEX(Cadastro_Atletas!$C$2:$C$401,MATCH(D134,Cadastro_Atletas!$D$2:$D$401,0)),""))</f>
        <v/>
      </c>
      <c r="I134">
        <f>IF(OR(G134&gt;=2,H134&gt;=1),"Sim","Não")</f>
        <v/>
      </c>
      <c r="J134">
        <f>IF(H134&gt;=1,"Cartão vermelho",IF(G134&gt;=2,"Dois amarelos",""))</f>
        <v/>
      </c>
    </row>
    <row r="135">
      <c r="E135">
        <f>IF(D135="","",IFERROR(INDEX(Cadastro_Atletas!$C$2:$C$401,MATCH(D135,Cadastro_Atletas!$D$2:$D$401,0)),""))</f>
        <v/>
      </c>
      <c r="I135">
        <f>IF(OR(G135&gt;=2,H135&gt;=1),"Sim","Não")</f>
        <v/>
      </c>
      <c r="J135">
        <f>IF(H135&gt;=1,"Cartão vermelho",IF(G135&gt;=2,"Dois amarelos",""))</f>
        <v/>
      </c>
    </row>
    <row r="136">
      <c r="E136">
        <f>IF(D136="","",IFERROR(INDEX(Cadastro_Atletas!$C$2:$C$401,MATCH(D136,Cadastro_Atletas!$D$2:$D$401,0)),""))</f>
        <v/>
      </c>
      <c r="I136">
        <f>IF(OR(G136&gt;=2,H136&gt;=1),"Sim","Não")</f>
        <v/>
      </c>
      <c r="J136">
        <f>IF(H136&gt;=1,"Cartão vermelho",IF(G136&gt;=2,"Dois amarelos",""))</f>
        <v/>
      </c>
    </row>
    <row r="137">
      <c r="E137">
        <f>IF(D137="","",IFERROR(INDEX(Cadastro_Atletas!$C$2:$C$401,MATCH(D137,Cadastro_Atletas!$D$2:$D$401,0)),""))</f>
        <v/>
      </c>
      <c r="I137">
        <f>IF(OR(G137&gt;=2,H137&gt;=1),"Sim","Não")</f>
        <v/>
      </c>
      <c r="J137">
        <f>IF(H137&gt;=1,"Cartão vermelho",IF(G137&gt;=2,"Dois amarelos",""))</f>
        <v/>
      </c>
    </row>
    <row r="138">
      <c r="E138">
        <f>IF(D138="","",IFERROR(INDEX(Cadastro_Atletas!$C$2:$C$401,MATCH(D138,Cadastro_Atletas!$D$2:$D$401,0)),""))</f>
        <v/>
      </c>
      <c r="I138">
        <f>IF(OR(G138&gt;=2,H138&gt;=1),"Sim","Não")</f>
        <v/>
      </c>
      <c r="J138">
        <f>IF(H138&gt;=1,"Cartão vermelho",IF(G138&gt;=2,"Dois amarelos",""))</f>
        <v/>
      </c>
    </row>
    <row r="139">
      <c r="E139">
        <f>IF(D139="","",IFERROR(INDEX(Cadastro_Atletas!$C$2:$C$401,MATCH(D139,Cadastro_Atletas!$D$2:$D$401,0)),""))</f>
        <v/>
      </c>
      <c r="I139">
        <f>IF(OR(G139&gt;=2,H139&gt;=1),"Sim","Não")</f>
        <v/>
      </c>
      <c r="J139">
        <f>IF(H139&gt;=1,"Cartão vermelho",IF(G139&gt;=2,"Dois amarelos",""))</f>
        <v/>
      </c>
    </row>
    <row r="140">
      <c r="E140">
        <f>IF(D140="","",IFERROR(INDEX(Cadastro_Atletas!$C$2:$C$401,MATCH(D140,Cadastro_Atletas!$D$2:$D$401,0)),""))</f>
        <v/>
      </c>
      <c r="I140">
        <f>IF(OR(G140&gt;=2,H140&gt;=1),"Sim","Não")</f>
        <v/>
      </c>
      <c r="J140">
        <f>IF(H140&gt;=1,"Cartão vermelho",IF(G140&gt;=2,"Dois amarelos",""))</f>
        <v/>
      </c>
    </row>
    <row r="141">
      <c r="E141">
        <f>IF(D141="","",IFERROR(INDEX(Cadastro_Atletas!$C$2:$C$401,MATCH(D141,Cadastro_Atletas!$D$2:$D$401,0)),""))</f>
        <v/>
      </c>
      <c r="I141">
        <f>IF(OR(G141&gt;=2,H141&gt;=1),"Sim","Não")</f>
        <v/>
      </c>
      <c r="J141">
        <f>IF(H141&gt;=1,"Cartão vermelho",IF(G141&gt;=2,"Dois amarelos",""))</f>
        <v/>
      </c>
    </row>
    <row r="142">
      <c r="E142">
        <f>IF(D142="","",IFERROR(INDEX(Cadastro_Atletas!$C$2:$C$401,MATCH(D142,Cadastro_Atletas!$D$2:$D$401,0)),""))</f>
        <v/>
      </c>
      <c r="I142">
        <f>IF(OR(G142&gt;=2,H142&gt;=1),"Sim","Não")</f>
        <v/>
      </c>
      <c r="J142">
        <f>IF(H142&gt;=1,"Cartão vermelho",IF(G142&gt;=2,"Dois amarelos",""))</f>
        <v/>
      </c>
    </row>
    <row r="143">
      <c r="E143">
        <f>IF(D143="","",IFERROR(INDEX(Cadastro_Atletas!$C$2:$C$401,MATCH(D143,Cadastro_Atletas!$D$2:$D$401,0)),""))</f>
        <v/>
      </c>
      <c r="I143">
        <f>IF(OR(G143&gt;=2,H143&gt;=1),"Sim","Não")</f>
        <v/>
      </c>
      <c r="J143">
        <f>IF(H143&gt;=1,"Cartão vermelho",IF(G143&gt;=2,"Dois amarelos",""))</f>
        <v/>
      </c>
    </row>
    <row r="144">
      <c r="E144">
        <f>IF(D144="","",IFERROR(INDEX(Cadastro_Atletas!$C$2:$C$401,MATCH(D144,Cadastro_Atletas!$D$2:$D$401,0)),""))</f>
        <v/>
      </c>
      <c r="I144">
        <f>IF(OR(G144&gt;=2,H144&gt;=1),"Sim","Não")</f>
        <v/>
      </c>
      <c r="J144">
        <f>IF(H144&gt;=1,"Cartão vermelho",IF(G144&gt;=2,"Dois amarelos",""))</f>
        <v/>
      </c>
    </row>
    <row r="145">
      <c r="E145">
        <f>IF(D145="","",IFERROR(INDEX(Cadastro_Atletas!$C$2:$C$401,MATCH(D145,Cadastro_Atletas!$D$2:$D$401,0)),""))</f>
        <v/>
      </c>
      <c r="I145">
        <f>IF(OR(G145&gt;=2,H145&gt;=1),"Sim","Não")</f>
        <v/>
      </c>
      <c r="J145">
        <f>IF(H145&gt;=1,"Cartão vermelho",IF(G145&gt;=2,"Dois amarelos",""))</f>
        <v/>
      </c>
    </row>
    <row r="146">
      <c r="E146">
        <f>IF(D146="","",IFERROR(INDEX(Cadastro_Atletas!$C$2:$C$401,MATCH(D146,Cadastro_Atletas!$D$2:$D$401,0)),""))</f>
        <v/>
      </c>
      <c r="I146">
        <f>IF(OR(G146&gt;=2,H146&gt;=1),"Sim","Não")</f>
        <v/>
      </c>
      <c r="J146">
        <f>IF(H146&gt;=1,"Cartão vermelho",IF(G146&gt;=2,"Dois amarelos",""))</f>
        <v/>
      </c>
    </row>
    <row r="147">
      <c r="E147">
        <f>IF(D147="","",IFERROR(INDEX(Cadastro_Atletas!$C$2:$C$401,MATCH(D147,Cadastro_Atletas!$D$2:$D$401,0)),""))</f>
        <v/>
      </c>
      <c r="I147">
        <f>IF(OR(G147&gt;=2,H147&gt;=1),"Sim","Não")</f>
        <v/>
      </c>
      <c r="J147">
        <f>IF(H147&gt;=1,"Cartão vermelho",IF(G147&gt;=2,"Dois amarelos",""))</f>
        <v/>
      </c>
    </row>
    <row r="148">
      <c r="E148">
        <f>IF(D148="","",IFERROR(INDEX(Cadastro_Atletas!$C$2:$C$401,MATCH(D148,Cadastro_Atletas!$D$2:$D$401,0)),""))</f>
        <v/>
      </c>
      <c r="I148">
        <f>IF(OR(G148&gt;=2,H148&gt;=1),"Sim","Não")</f>
        <v/>
      </c>
      <c r="J148">
        <f>IF(H148&gt;=1,"Cartão vermelho",IF(G148&gt;=2,"Dois amarelos",""))</f>
        <v/>
      </c>
    </row>
    <row r="149">
      <c r="E149">
        <f>IF(D149="","",IFERROR(INDEX(Cadastro_Atletas!$C$2:$C$401,MATCH(D149,Cadastro_Atletas!$D$2:$D$401,0)),""))</f>
        <v/>
      </c>
      <c r="I149">
        <f>IF(OR(G149&gt;=2,H149&gt;=1),"Sim","Não")</f>
        <v/>
      </c>
      <c r="J149">
        <f>IF(H149&gt;=1,"Cartão vermelho",IF(G149&gt;=2,"Dois amarelos",""))</f>
        <v/>
      </c>
    </row>
    <row r="150">
      <c r="E150">
        <f>IF(D150="","",IFERROR(INDEX(Cadastro_Atletas!$C$2:$C$401,MATCH(D150,Cadastro_Atletas!$D$2:$D$401,0)),""))</f>
        <v/>
      </c>
      <c r="I150">
        <f>IF(OR(G150&gt;=2,H150&gt;=1),"Sim","Não")</f>
        <v/>
      </c>
      <c r="J150">
        <f>IF(H150&gt;=1,"Cartão vermelho",IF(G150&gt;=2,"Dois amarelos",""))</f>
        <v/>
      </c>
    </row>
    <row r="151">
      <c r="E151">
        <f>IF(D151="","",IFERROR(INDEX(Cadastro_Atletas!$C$2:$C$401,MATCH(D151,Cadastro_Atletas!$D$2:$D$401,0)),""))</f>
        <v/>
      </c>
      <c r="I151">
        <f>IF(OR(G151&gt;=2,H151&gt;=1),"Sim","Não")</f>
        <v/>
      </c>
      <c r="J151">
        <f>IF(H151&gt;=1,"Cartão vermelho",IF(G151&gt;=2,"Dois amarelos",""))</f>
        <v/>
      </c>
    </row>
    <row r="152">
      <c r="E152">
        <f>IF(D152="","",IFERROR(INDEX(Cadastro_Atletas!$C$2:$C$401,MATCH(D152,Cadastro_Atletas!$D$2:$D$401,0)),""))</f>
        <v/>
      </c>
      <c r="I152">
        <f>IF(OR(G152&gt;=2,H152&gt;=1),"Sim","Não")</f>
        <v/>
      </c>
      <c r="J152">
        <f>IF(H152&gt;=1,"Cartão vermelho",IF(G152&gt;=2,"Dois amarelos",""))</f>
        <v/>
      </c>
    </row>
    <row r="153">
      <c r="E153">
        <f>IF(D153="","",IFERROR(INDEX(Cadastro_Atletas!$C$2:$C$401,MATCH(D153,Cadastro_Atletas!$D$2:$D$401,0)),""))</f>
        <v/>
      </c>
      <c r="I153">
        <f>IF(OR(G153&gt;=2,H153&gt;=1),"Sim","Não")</f>
        <v/>
      </c>
      <c r="J153">
        <f>IF(H153&gt;=1,"Cartão vermelho",IF(G153&gt;=2,"Dois amarelos",""))</f>
        <v/>
      </c>
    </row>
    <row r="154">
      <c r="E154">
        <f>IF(D154="","",IFERROR(INDEX(Cadastro_Atletas!$C$2:$C$401,MATCH(D154,Cadastro_Atletas!$D$2:$D$401,0)),""))</f>
        <v/>
      </c>
      <c r="I154">
        <f>IF(OR(G154&gt;=2,H154&gt;=1),"Sim","Não")</f>
        <v/>
      </c>
      <c r="J154">
        <f>IF(H154&gt;=1,"Cartão vermelho",IF(G154&gt;=2,"Dois amarelos",""))</f>
        <v/>
      </c>
    </row>
    <row r="155">
      <c r="E155">
        <f>IF(D155="","",IFERROR(INDEX(Cadastro_Atletas!$C$2:$C$401,MATCH(D155,Cadastro_Atletas!$D$2:$D$401,0)),""))</f>
        <v/>
      </c>
      <c r="I155">
        <f>IF(OR(G155&gt;=2,H155&gt;=1),"Sim","Não")</f>
        <v/>
      </c>
      <c r="J155">
        <f>IF(H155&gt;=1,"Cartão vermelho",IF(G155&gt;=2,"Dois amarelos",""))</f>
        <v/>
      </c>
    </row>
    <row r="156">
      <c r="E156">
        <f>IF(D156="","",IFERROR(INDEX(Cadastro_Atletas!$C$2:$C$401,MATCH(D156,Cadastro_Atletas!$D$2:$D$401,0)),""))</f>
        <v/>
      </c>
      <c r="I156">
        <f>IF(OR(G156&gt;=2,H156&gt;=1),"Sim","Não")</f>
        <v/>
      </c>
      <c r="J156">
        <f>IF(H156&gt;=1,"Cartão vermelho",IF(G156&gt;=2,"Dois amarelos",""))</f>
        <v/>
      </c>
    </row>
    <row r="157">
      <c r="E157">
        <f>IF(D157="","",IFERROR(INDEX(Cadastro_Atletas!$C$2:$C$401,MATCH(D157,Cadastro_Atletas!$D$2:$D$401,0)),""))</f>
        <v/>
      </c>
      <c r="I157">
        <f>IF(OR(G157&gt;=2,H157&gt;=1),"Sim","Não")</f>
        <v/>
      </c>
      <c r="J157">
        <f>IF(H157&gt;=1,"Cartão vermelho",IF(G157&gt;=2,"Dois amarelos",""))</f>
        <v/>
      </c>
    </row>
    <row r="158">
      <c r="E158">
        <f>IF(D158="","",IFERROR(INDEX(Cadastro_Atletas!$C$2:$C$401,MATCH(D158,Cadastro_Atletas!$D$2:$D$401,0)),""))</f>
        <v/>
      </c>
      <c r="I158">
        <f>IF(OR(G158&gt;=2,H158&gt;=1),"Sim","Não")</f>
        <v/>
      </c>
      <c r="J158">
        <f>IF(H158&gt;=1,"Cartão vermelho",IF(G158&gt;=2,"Dois amarelos",""))</f>
        <v/>
      </c>
    </row>
    <row r="159">
      <c r="E159">
        <f>IF(D159="","",IFERROR(INDEX(Cadastro_Atletas!$C$2:$C$401,MATCH(D159,Cadastro_Atletas!$D$2:$D$401,0)),""))</f>
        <v/>
      </c>
      <c r="I159">
        <f>IF(OR(G159&gt;=2,H159&gt;=1),"Sim","Não")</f>
        <v/>
      </c>
      <c r="J159">
        <f>IF(H159&gt;=1,"Cartão vermelho",IF(G159&gt;=2,"Dois amarelos",""))</f>
        <v/>
      </c>
    </row>
    <row r="160">
      <c r="E160">
        <f>IF(D160="","",IFERROR(INDEX(Cadastro_Atletas!$C$2:$C$401,MATCH(D160,Cadastro_Atletas!$D$2:$D$401,0)),""))</f>
        <v/>
      </c>
      <c r="I160">
        <f>IF(OR(G160&gt;=2,H160&gt;=1),"Sim","Não")</f>
        <v/>
      </c>
      <c r="J160">
        <f>IF(H160&gt;=1,"Cartão vermelho",IF(G160&gt;=2,"Dois amarelos",""))</f>
        <v/>
      </c>
    </row>
    <row r="161">
      <c r="E161">
        <f>IF(D161="","",IFERROR(INDEX(Cadastro_Atletas!$C$2:$C$401,MATCH(D161,Cadastro_Atletas!$D$2:$D$401,0)),""))</f>
        <v/>
      </c>
      <c r="I161">
        <f>IF(OR(G161&gt;=2,H161&gt;=1),"Sim","Não")</f>
        <v/>
      </c>
      <c r="J161">
        <f>IF(H161&gt;=1,"Cartão vermelho",IF(G161&gt;=2,"Dois amarelos",""))</f>
        <v/>
      </c>
    </row>
    <row r="162">
      <c r="E162">
        <f>IF(D162="","",IFERROR(INDEX(Cadastro_Atletas!$C$2:$C$401,MATCH(D162,Cadastro_Atletas!$D$2:$D$401,0)),""))</f>
        <v/>
      </c>
      <c r="I162">
        <f>IF(OR(G162&gt;=2,H162&gt;=1),"Sim","Não")</f>
        <v/>
      </c>
      <c r="J162">
        <f>IF(H162&gt;=1,"Cartão vermelho",IF(G162&gt;=2,"Dois amarelos",""))</f>
        <v/>
      </c>
    </row>
    <row r="163">
      <c r="E163">
        <f>IF(D163="","",IFERROR(INDEX(Cadastro_Atletas!$C$2:$C$401,MATCH(D163,Cadastro_Atletas!$D$2:$D$401,0)),""))</f>
        <v/>
      </c>
      <c r="I163">
        <f>IF(OR(G163&gt;=2,H163&gt;=1),"Sim","Não")</f>
        <v/>
      </c>
      <c r="J163">
        <f>IF(H163&gt;=1,"Cartão vermelho",IF(G163&gt;=2,"Dois amarelos",""))</f>
        <v/>
      </c>
    </row>
    <row r="164">
      <c r="E164">
        <f>IF(D164="","",IFERROR(INDEX(Cadastro_Atletas!$C$2:$C$401,MATCH(D164,Cadastro_Atletas!$D$2:$D$401,0)),""))</f>
        <v/>
      </c>
      <c r="I164">
        <f>IF(OR(G164&gt;=2,H164&gt;=1),"Sim","Não")</f>
        <v/>
      </c>
      <c r="J164">
        <f>IF(H164&gt;=1,"Cartão vermelho",IF(G164&gt;=2,"Dois amarelos",""))</f>
        <v/>
      </c>
    </row>
    <row r="165">
      <c r="E165">
        <f>IF(D165="","",IFERROR(INDEX(Cadastro_Atletas!$C$2:$C$401,MATCH(D165,Cadastro_Atletas!$D$2:$D$401,0)),""))</f>
        <v/>
      </c>
      <c r="I165">
        <f>IF(OR(G165&gt;=2,H165&gt;=1),"Sim","Não")</f>
        <v/>
      </c>
      <c r="J165">
        <f>IF(H165&gt;=1,"Cartão vermelho",IF(G165&gt;=2,"Dois amarelos",""))</f>
        <v/>
      </c>
    </row>
    <row r="166">
      <c r="E166">
        <f>IF(D166="","",IFERROR(INDEX(Cadastro_Atletas!$C$2:$C$401,MATCH(D166,Cadastro_Atletas!$D$2:$D$401,0)),""))</f>
        <v/>
      </c>
      <c r="I166">
        <f>IF(OR(G166&gt;=2,H166&gt;=1),"Sim","Não")</f>
        <v/>
      </c>
      <c r="J166">
        <f>IF(H166&gt;=1,"Cartão vermelho",IF(G166&gt;=2,"Dois amarelos",""))</f>
        <v/>
      </c>
    </row>
    <row r="167">
      <c r="E167">
        <f>IF(D167="","",IFERROR(INDEX(Cadastro_Atletas!$C$2:$C$401,MATCH(D167,Cadastro_Atletas!$D$2:$D$401,0)),""))</f>
        <v/>
      </c>
      <c r="I167">
        <f>IF(OR(G167&gt;=2,H167&gt;=1),"Sim","Não")</f>
        <v/>
      </c>
      <c r="J167">
        <f>IF(H167&gt;=1,"Cartão vermelho",IF(G167&gt;=2,"Dois amarelos",""))</f>
        <v/>
      </c>
    </row>
    <row r="168">
      <c r="E168">
        <f>IF(D168="","",IFERROR(INDEX(Cadastro_Atletas!$C$2:$C$401,MATCH(D168,Cadastro_Atletas!$D$2:$D$401,0)),""))</f>
        <v/>
      </c>
      <c r="I168">
        <f>IF(OR(G168&gt;=2,H168&gt;=1),"Sim","Não")</f>
        <v/>
      </c>
      <c r="J168">
        <f>IF(H168&gt;=1,"Cartão vermelho",IF(G168&gt;=2,"Dois amarelos",""))</f>
        <v/>
      </c>
    </row>
    <row r="169">
      <c r="E169">
        <f>IF(D169="","",IFERROR(INDEX(Cadastro_Atletas!$C$2:$C$401,MATCH(D169,Cadastro_Atletas!$D$2:$D$401,0)),""))</f>
        <v/>
      </c>
      <c r="I169">
        <f>IF(OR(G169&gt;=2,H169&gt;=1),"Sim","Não")</f>
        <v/>
      </c>
      <c r="J169">
        <f>IF(H169&gt;=1,"Cartão vermelho",IF(G169&gt;=2,"Dois amarelos",""))</f>
        <v/>
      </c>
    </row>
    <row r="170">
      <c r="E170">
        <f>IF(D170="","",IFERROR(INDEX(Cadastro_Atletas!$C$2:$C$401,MATCH(D170,Cadastro_Atletas!$D$2:$D$401,0)),""))</f>
        <v/>
      </c>
      <c r="I170">
        <f>IF(OR(G170&gt;=2,H170&gt;=1),"Sim","Não")</f>
        <v/>
      </c>
      <c r="J170">
        <f>IF(H170&gt;=1,"Cartão vermelho",IF(G170&gt;=2,"Dois amarelos",""))</f>
        <v/>
      </c>
    </row>
    <row r="171">
      <c r="E171">
        <f>IF(D171="","",IFERROR(INDEX(Cadastro_Atletas!$C$2:$C$401,MATCH(D171,Cadastro_Atletas!$D$2:$D$401,0)),""))</f>
        <v/>
      </c>
      <c r="I171">
        <f>IF(OR(G171&gt;=2,H171&gt;=1),"Sim","Não")</f>
        <v/>
      </c>
      <c r="J171">
        <f>IF(H171&gt;=1,"Cartão vermelho",IF(G171&gt;=2,"Dois amarelos",""))</f>
        <v/>
      </c>
    </row>
    <row r="172">
      <c r="E172">
        <f>IF(D172="","",IFERROR(INDEX(Cadastro_Atletas!$C$2:$C$401,MATCH(D172,Cadastro_Atletas!$D$2:$D$401,0)),""))</f>
        <v/>
      </c>
      <c r="I172">
        <f>IF(OR(G172&gt;=2,H172&gt;=1),"Sim","Não")</f>
        <v/>
      </c>
      <c r="J172">
        <f>IF(H172&gt;=1,"Cartão vermelho",IF(G172&gt;=2,"Dois amarelos",""))</f>
        <v/>
      </c>
    </row>
    <row r="173">
      <c r="E173">
        <f>IF(D173="","",IFERROR(INDEX(Cadastro_Atletas!$C$2:$C$401,MATCH(D173,Cadastro_Atletas!$D$2:$D$401,0)),""))</f>
        <v/>
      </c>
      <c r="I173">
        <f>IF(OR(G173&gt;=2,H173&gt;=1),"Sim","Não")</f>
        <v/>
      </c>
      <c r="J173">
        <f>IF(H173&gt;=1,"Cartão vermelho",IF(G173&gt;=2,"Dois amarelos",""))</f>
        <v/>
      </c>
    </row>
    <row r="174">
      <c r="E174">
        <f>IF(D174="","",IFERROR(INDEX(Cadastro_Atletas!$C$2:$C$401,MATCH(D174,Cadastro_Atletas!$D$2:$D$401,0)),""))</f>
        <v/>
      </c>
      <c r="I174">
        <f>IF(OR(G174&gt;=2,H174&gt;=1),"Sim","Não")</f>
        <v/>
      </c>
      <c r="J174">
        <f>IF(H174&gt;=1,"Cartão vermelho",IF(G174&gt;=2,"Dois amarelos",""))</f>
        <v/>
      </c>
    </row>
    <row r="175">
      <c r="E175">
        <f>IF(D175="","",IFERROR(INDEX(Cadastro_Atletas!$C$2:$C$401,MATCH(D175,Cadastro_Atletas!$D$2:$D$401,0)),""))</f>
        <v/>
      </c>
      <c r="I175">
        <f>IF(OR(G175&gt;=2,H175&gt;=1),"Sim","Não")</f>
        <v/>
      </c>
      <c r="J175">
        <f>IF(H175&gt;=1,"Cartão vermelho",IF(G175&gt;=2,"Dois amarelos",""))</f>
        <v/>
      </c>
    </row>
    <row r="176">
      <c r="E176">
        <f>IF(D176="","",IFERROR(INDEX(Cadastro_Atletas!$C$2:$C$401,MATCH(D176,Cadastro_Atletas!$D$2:$D$401,0)),""))</f>
        <v/>
      </c>
      <c r="I176">
        <f>IF(OR(G176&gt;=2,H176&gt;=1),"Sim","Não")</f>
        <v/>
      </c>
      <c r="J176">
        <f>IF(H176&gt;=1,"Cartão vermelho",IF(G176&gt;=2,"Dois amarelos",""))</f>
        <v/>
      </c>
    </row>
    <row r="177">
      <c r="E177">
        <f>IF(D177="","",IFERROR(INDEX(Cadastro_Atletas!$C$2:$C$401,MATCH(D177,Cadastro_Atletas!$D$2:$D$401,0)),""))</f>
        <v/>
      </c>
      <c r="I177">
        <f>IF(OR(G177&gt;=2,H177&gt;=1),"Sim","Não")</f>
        <v/>
      </c>
      <c r="J177">
        <f>IF(H177&gt;=1,"Cartão vermelho",IF(G177&gt;=2,"Dois amarelos",""))</f>
        <v/>
      </c>
    </row>
    <row r="178">
      <c r="E178">
        <f>IF(D178="","",IFERROR(INDEX(Cadastro_Atletas!$C$2:$C$401,MATCH(D178,Cadastro_Atletas!$D$2:$D$401,0)),""))</f>
        <v/>
      </c>
      <c r="I178">
        <f>IF(OR(G178&gt;=2,H178&gt;=1),"Sim","Não")</f>
        <v/>
      </c>
      <c r="J178">
        <f>IF(H178&gt;=1,"Cartão vermelho",IF(G178&gt;=2,"Dois amarelos",""))</f>
        <v/>
      </c>
    </row>
    <row r="179">
      <c r="E179">
        <f>IF(D179="","",IFERROR(INDEX(Cadastro_Atletas!$C$2:$C$401,MATCH(D179,Cadastro_Atletas!$D$2:$D$401,0)),""))</f>
        <v/>
      </c>
      <c r="I179">
        <f>IF(OR(G179&gt;=2,H179&gt;=1),"Sim","Não")</f>
        <v/>
      </c>
      <c r="J179">
        <f>IF(H179&gt;=1,"Cartão vermelho",IF(G179&gt;=2,"Dois amarelos",""))</f>
        <v/>
      </c>
    </row>
    <row r="180">
      <c r="E180">
        <f>IF(D180="","",IFERROR(INDEX(Cadastro_Atletas!$C$2:$C$401,MATCH(D180,Cadastro_Atletas!$D$2:$D$401,0)),""))</f>
        <v/>
      </c>
      <c r="I180">
        <f>IF(OR(G180&gt;=2,H180&gt;=1),"Sim","Não")</f>
        <v/>
      </c>
      <c r="J180">
        <f>IF(H180&gt;=1,"Cartão vermelho",IF(G180&gt;=2,"Dois amarelos",""))</f>
        <v/>
      </c>
    </row>
    <row r="181">
      <c r="E181">
        <f>IF(D181="","",IFERROR(INDEX(Cadastro_Atletas!$C$2:$C$401,MATCH(D181,Cadastro_Atletas!$D$2:$D$401,0)),""))</f>
        <v/>
      </c>
      <c r="I181">
        <f>IF(OR(G181&gt;=2,H181&gt;=1),"Sim","Não")</f>
        <v/>
      </c>
      <c r="J181">
        <f>IF(H181&gt;=1,"Cartão vermelho",IF(G181&gt;=2,"Dois amarelos",""))</f>
        <v/>
      </c>
    </row>
    <row r="182">
      <c r="E182">
        <f>IF(D182="","",IFERROR(INDEX(Cadastro_Atletas!$C$2:$C$401,MATCH(D182,Cadastro_Atletas!$D$2:$D$401,0)),""))</f>
        <v/>
      </c>
      <c r="I182">
        <f>IF(OR(G182&gt;=2,H182&gt;=1),"Sim","Não")</f>
        <v/>
      </c>
      <c r="J182">
        <f>IF(H182&gt;=1,"Cartão vermelho",IF(G182&gt;=2,"Dois amarelos",""))</f>
        <v/>
      </c>
    </row>
    <row r="183">
      <c r="E183">
        <f>IF(D183="","",IFERROR(INDEX(Cadastro_Atletas!$C$2:$C$401,MATCH(D183,Cadastro_Atletas!$D$2:$D$401,0)),""))</f>
        <v/>
      </c>
      <c r="I183">
        <f>IF(OR(G183&gt;=2,H183&gt;=1),"Sim","Não")</f>
        <v/>
      </c>
      <c r="J183">
        <f>IF(H183&gt;=1,"Cartão vermelho",IF(G183&gt;=2,"Dois amarelos",""))</f>
        <v/>
      </c>
    </row>
    <row r="184">
      <c r="E184">
        <f>IF(D184="","",IFERROR(INDEX(Cadastro_Atletas!$C$2:$C$401,MATCH(D184,Cadastro_Atletas!$D$2:$D$401,0)),""))</f>
        <v/>
      </c>
      <c r="I184">
        <f>IF(OR(G184&gt;=2,H184&gt;=1),"Sim","Não")</f>
        <v/>
      </c>
      <c r="J184">
        <f>IF(H184&gt;=1,"Cartão vermelho",IF(G184&gt;=2,"Dois amarelos",""))</f>
        <v/>
      </c>
    </row>
    <row r="185">
      <c r="E185">
        <f>IF(D185="","",IFERROR(INDEX(Cadastro_Atletas!$C$2:$C$401,MATCH(D185,Cadastro_Atletas!$D$2:$D$401,0)),""))</f>
        <v/>
      </c>
      <c r="I185">
        <f>IF(OR(G185&gt;=2,H185&gt;=1),"Sim","Não")</f>
        <v/>
      </c>
      <c r="J185">
        <f>IF(H185&gt;=1,"Cartão vermelho",IF(G185&gt;=2,"Dois amarelos",""))</f>
        <v/>
      </c>
    </row>
    <row r="186">
      <c r="E186">
        <f>IF(D186="","",IFERROR(INDEX(Cadastro_Atletas!$C$2:$C$401,MATCH(D186,Cadastro_Atletas!$D$2:$D$401,0)),""))</f>
        <v/>
      </c>
      <c r="I186">
        <f>IF(OR(G186&gt;=2,H186&gt;=1),"Sim","Não")</f>
        <v/>
      </c>
      <c r="J186">
        <f>IF(H186&gt;=1,"Cartão vermelho",IF(G186&gt;=2,"Dois amarelos",""))</f>
        <v/>
      </c>
    </row>
    <row r="187">
      <c r="E187">
        <f>IF(D187="","",IFERROR(INDEX(Cadastro_Atletas!$C$2:$C$401,MATCH(D187,Cadastro_Atletas!$D$2:$D$401,0)),""))</f>
        <v/>
      </c>
      <c r="I187">
        <f>IF(OR(G187&gt;=2,H187&gt;=1),"Sim","Não")</f>
        <v/>
      </c>
      <c r="J187">
        <f>IF(H187&gt;=1,"Cartão vermelho",IF(G187&gt;=2,"Dois amarelos",""))</f>
        <v/>
      </c>
    </row>
    <row r="188">
      <c r="E188">
        <f>IF(D188="","",IFERROR(INDEX(Cadastro_Atletas!$C$2:$C$401,MATCH(D188,Cadastro_Atletas!$D$2:$D$401,0)),""))</f>
        <v/>
      </c>
      <c r="I188">
        <f>IF(OR(G188&gt;=2,H188&gt;=1),"Sim","Não")</f>
        <v/>
      </c>
      <c r="J188">
        <f>IF(H188&gt;=1,"Cartão vermelho",IF(G188&gt;=2,"Dois amarelos",""))</f>
        <v/>
      </c>
    </row>
    <row r="189">
      <c r="E189">
        <f>IF(D189="","",IFERROR(INDEX(Cadastro_Atletas!$C$2:$C$401,MATCH(D189,Cadastro_Atletas!$D$2:$D$401,0)),""))</f>
        <v/>
      </c>
      <c r="I189">
        <f>IF(OR(G189&gt;=2,H189&gt;=1),"Sim","Não")</f>
        <v/>
      </c>
      <c r="J189">
        <f>IF(H189&gt;=1,"Cartão vermelho",IF(G189&gt;=2,"Dois amarelos",""))</f>
        <v/>
      </c>
    </row>
    <row r="190">
      <c r="E190">
        <f>IF(D190="","",IFERROR(INDEX(Cadastro_Atletas!$C$2:$C$401,MATCH(D190,Cadastro_Atletas!$D$2:$D$401,0)),""))</f>
        <v/>
      </c>
      <c r="I190">
        <f>IF(OR(G190&gt;=2,H190&gt;=1),"Sim","Não")</f>
        <v/>
      </c>
      <c r="J190">
        <f>IF(H190&gt;=1,"Cartão vermelho",IF(G190&gt;=2,"Dois amarelos",""))</f>
        <v/>
      </c>
    </row>
    <row r="191">
      <c r="E191">
        <f>IF(D191="","",IFERROR(INDEX(Cadastro_Atletas!$C$2:$C$401,MATCH(D191,Cadastro_Atletas!$D$2:$D$401,0)),""))</f>
        <v/>
      </c>
      <c r="I191">
        <f>IF(OR(G191&gt;=2,H191&gt;=1),"Sim","Não")</f>
        <v/>
      </c>
      <c r="J191">
        <f>IF(H191&gt;=1,"Cartão vermelho",IF(G191&gt;=2,"Dois amarelos",""))</f>
        <v/>
      </c>
    </row>
    <row r="192">
      <c r="E192">
        <f>IF(D192="","",IFERROR(INDEX(Cadastro_Atletas!$C$2:$C$401,MATCH(D192,Cadastro_Atletas!$D$2:$D$401,0)),""))</f>
        <v/>
      </c>
      <c r="I192">
        <f>IF(OR(G192&gt;=2,H192&gt;=1),"Sim","Não")</f>
        <v/>
      </c>
      <c r="J192">
        <f>IF(H192&gt;=1,"Cartão vermelho",IF(G192&gt;=2,"Dois amarelos",""))</f>
        <v/>
      </c>
    </row>
    <row r="193">
      <c r="E193">
        <f>IF(D193="","",IFERROR(INDEX(Cadastro_Atletas!$C$2:$C$401,MATCH(D193,Cadastro_Atletas!$D$2:$D$401,0)),""))</f>
        <v/>
      </c>
      <c r="I193">
        <f>IF(OR(G193&gt;=2,H193&gt;=1),"Sim","Não")</f>
        <v/>
      </c>
      <c r="J193">
        <f>IF(H193&gt;=1,"Cartão vermelho",IF(G193&gt;=2,"Dois amarelos",""))</f>
        <v/>
      </c>
    </row>
    <row r="194">
      <c r="E194">
        <f>IF(D194="","",IFERROR(INDEX(Cadastro_Atletas!$C$2:$C$401,MATCH(D194,Cadastro_Atletas!$D$2:$D$401,0)),""))</f>
        <v/>
      </c>
      <c r="I194">
        <f>IF(OR(G194&gt;=2,H194&gt;=1),"Sim","Não")</f>
        <v/>
      </c>
      <c r="J194">
        <f>IF(H194&gt;=1,"Cartão vermelho",IF(G194&gt;=2,"Dois amarelos",""))</f>
        <v/>
      </c>
    </row>
    <row r="195">
      <c r="E195">
        <f>IF(D195="","",IFERROR(INDEX(Cadastro_Atletas!$C$2:$C$401,MATCH(D195,Cadastro_Atletas!$D$2:$D$401,0)),""))</f>
        <v/>
      </c>
      <c r="I195">
        <f>IF(OR(G195&gt;=2,H195&gt;=1),"Sim","Não")</f>
        <v/>
      </c>
      <c r="J195">
        <f>IF(H195&gt;=1,"Cartão vermelho",IF(G195&gt;=2,"Dois amarelos",""))</f>
        <v/>
      </c>
    </row>
    <row r="196">
      <c r="E196">
        <f>IF(D196="","",IFERROR(INDEX(Cadastro_Atletas!$C$2:$C$401,MATCH(D196,Cadastro_Atletas!$D$2:$D$401,0)),""))</f>
        <v/>
      </c>
      <c r="I196">
        <f>IF(OR(G196&gt;=2,H196&gt;=1),"Sim","Não")</f>
        <v/>
      </c>
      <c r="J196">
        <f>IF(H196&gt;=1,"Cartão vermelho",IF(G196&gt;=2,"Dois amarelos",""))</f>
        <v/>
      </c>
    </row>
    <row r="197">
      <c r="E197">
        <f>IF(D197="","",IFERROR(INDEX(Cadastro_Atletas!$C$2:$C$401,MATCH(D197,Cadastro_Atletas!$D$2:$D$401,0)),""))</f>
        <v/>
      </c>
      <c r="I197">
        <f>IF(OR(G197&gt;=2,H197&gt;=1),"Sim","Não")</f>
        <v/>
      </c>
      <c r="J197">
        <f>IF(H197&gt;=1,"Cartão vermelho",IF(G197&gt;=2,"Dois amarelos",""))</f>
        <v/>
      </c>
    </row>
    <row r="198">
      <c r="E198">
        <f>IF(D198="","",IFERROR(INDEX(Cadastro_Atletas!$C$2:$C$401,MATCH(D198,Cadastro_Atletas!$D$2:$D$401,0)),""))</f>
        <v/>
      </c>
      <c r="I198">
        <f>IF(OR(G198&gt;=2,H198&gt;=1),"Sim","Não")</f>
        <v/>
      </c>
      <c r="J198">
        <f>IF(H198&gt;=1,"Cartão vermelho",IF(G198&gt;=2,"Dois amarelos",""))</f>
        <v/>
      </c>
    </row>
    <row r="199">
      <c r="E199">
        <f>IF(D199="","",IFERROR(INDEX(Cadastro_Atletas!$C$2:$C$401,MATCH(D199,Cadastro_Atletas!$D$2:$D$401,0)),""))</f>
        <v/>
      </c>
      <c r="I199">
        <f>IF(OR(G199&gt;=2,H199&gt;=1),"Sim","Não")</f>
        <v/>
      </c>
      <c r="J199">
        <f>IF(H199&gt;=1,"Cartão vermelho",IF(G199&gt;=2,"Dois amarelos",""))</f>
        <v/>
      </c>
    </row>
    <row r="200">
      <c r="E200">
        <f>IF(D200="","",IFERROR(INDEX(Cadastro_Atletas!$C$2:$C$401,MATCH(D200,Cadastro_Atletas!$D$2:$D$401,0)),""))</f>
        <v/>
      </c>
      <c r="I200">
        <f>IF(OR(G200&gt;=2,H200&gt;=1),"Sim","Não")</f>
        <v/>
      </c>
      <c r="J200">
        <f>IF(H200&gt;=1,"Cartão vermelho",IF(G200&gt;=2,"Dois amarelos",""))</f>
        <v/>
      </c>
    </row>
    <row r="201">
      <c r="E201">
        <f>IF(D201="","",IFERROR(INDEX(Cadastro_Atletas!$C$2:$C$401,MATCH(D201,Cadastro_Atletas!$D$2:$D$401,0)),""))</f>
        <v/>
      </c>
      <c r="I201">
        <f>IF(OR(G201&gt;=2,H201&gt;=1),"Sim","Não")</f>
        <v/>
      </c>
      <c r="J201">
        <f>IF(H201&gt;=1,"Cartão vermelho",IF(G201&gt;=2,"Dois amarelos",""))</f>
        <v/>
      </c>
    </row>
    <row r="202">
      <c r="E202">
        <f>IF(D202="","",IFERROR(INDEX(Cadastro_Atletas!$C$2:$C$401,MATCH(D202,Cadastro_Atletas!$D$2:$D$401,0)),""))</f>
        <v/>
      </c>
      <c r="I202">
        <f>IF(OR(G202&gt;=2,H202&gt;=1),"Sim","Não")</f>
        <v/>
      </c>
      <c r="J202">
        <f>IF(H202&gt;=1,"Cartão vermelho",IF(G202&gt;=2,"Dois amarelos",""))</f>
        <v/>
      </c>
    </row>
    <row r="203">
      <c r="E203">
        <f>IF(D203="","",IFERROR(INDEX(Cadastro_Atletas!$C$2:$C$401,MATCH(D203,Cadastro_Atletas!$D$2:$D$401,0)),""))</f>
        <v/>
      </c>
      <c r="I203">
        <f>IF(OR(G203&gt;=2,H203&gt;=1),"Sim","Não")</f>
        <v/>
      </c>
      <c r="J203">
        <f>IF(H203&gt;=1,"Cartão vermelho",IF(G203&gt;=2,"Dois amarelos",""))</f>
        <v/>
      </c>
    </row>
    <row r="204">
      <c r="E204">
        <f>IF(D204="","",IFERROR(INDEX(Cadastro_Atletas!$C$2:$C$401,MATCH(D204,Cadastro_Atletas!$D$2:$D$401,0)),""))</f>
        <v/>
      </c>
      <c r="I204">
        <f>IF(OR(G204&gt;=2,H204&gt;=1),"Sim","Não")</f>
        <v/>
      </c>
      <c r="J204">
        <f>IF(H204&gt;=1,"Cartão vermelho",IF(G204&gt;=2,"Dois amarelos",""))</f>
        <v/>
      </c>
    </row>
    <row r="205">
      <c r="E205">
        <f>IF(D205="","",IFERROR(INDEX(Cadastro_Atletas!$C$2:$C$401,MATCH(D205,Cadastro_Atletas!$D$2:$D$401,0)),""))</f>
        <v/>
      </c>
      <c r="I205">
        <f>IF(OR(G205&gt;=2,H205&gt;=1),"Sim","Não")</f>
        <v/>
      </c>
      <c r="J205">
        <f>IF(H205&gt;=1,"Cartão vermelho",IF(G205&gt;=2,"Dois amarelos",""))</f>
        <v/>
      </c>
    </row>
    <row r="206">
      <c r="E206">
        <f>IF(D206="","",IFERROR(INDEX(Cadastro_Atletas!$C$2:$C$401,MATCH(D206,Cadastro_Atletas!$D$2:$D$401,0)),""))</f>
        <v/>
      </c>
      <c r="I206">
        <f>IF(OR(G206&gt;=2,H206&gt;=1),"Sim","Não")</f>
        <v/>
      </c>
      <c r="J206">
        <f>IF(H206&gt;=1,"Cartão vermelho",IF(G206&gt;=2,"Dois amarelos",""))</f>
        <v/>
      </c>
    </row>
    <row r="207">
      <c r="E207">
        <f>IF(D207="","",IFERROR(INDEX(Cadastro_Atletas!$C$2:$C$401,MATCH(D207,Cadastro_Atletas!$D$2:$D$401,0)),""))</f>
        <v/>
      </c>
      <c r="I207">
        <f>IF(OR(G207&gt;=2,H207&gt;=1),"Sim","Não")</f>
        <v/>
      </c>
      <c r="J207">
        <f>IF(H207&gt;=1,"Cartão vermelho",IF(G207&gt;=2,"Dois amarelos",""))</f>
        <v/>
      </c>
    </row>
    <row r="208">
      <c r="E208">
        <f>IF(D208="","",IFERROR(INDEX(Cadastro_Atletas!$C$2:$C$401,MATCH(D208,Cadastro_Atletas!$D$2:$D$401,0)),""))</f>
        <v/>
      </c>
      <c r="I208">
        <f>IF(OR(G208&gt;=2,H208&gt;=1),"Sim","Não")</f>
        <v/>
      </c>
      <c r="J208">
        <f>IF(H208&gt;=1,"Cartão vermelho",IF(G208&gt;=2,"Dois amarelos",""))</f>
        <v/>
      </c>
    </row>
    <row r="209">
      <c r="E209">
        <f>IF(D209="","",IFERROR(INDEX(Cadastro_Atletas!$C$2:$C$401,MATCH(D209,Cadastro_Atletas!$D$2:$D$401,0)),""))</f>
        <v/>
      </c>
      <c r="I209">
        <f>IF(OR(G209&gt;=2,H209&gt;=1),"Sim","Não")</f>
        <v/>
      </c>
      <c r="J209">
        <f>IF(H209&gt;=1,"Cartão vermelho",IF(G209&gt;=2,"Dois amarelos",""))</f>
        <v/>
      </c>
    </row>
    <row r="210">
      <c r="E210">
        <f>IF(D210="","",IFERROR(INDEX(Cadastro_Atletas!$C$2:$C$401,MATCH(D210,Cadastro_Atletas!$D$2:$D$401,0)),""))</f>
        <v/>
      </c>
      <c r="I210">
        <f>IF(OR(G210&gt;=2,H210&gt;=1),"Sim","Não")</f>
        <v/>
      </c>
      <c r="J210">
        <f>IF(H210&gt;=1,"Cartão vermelho",IF(G210&gt;=2,"Dois amarelos",""))</f>
        <v/>
      </c>
    </row>
    <row r="211">
      <c r="E211">
        <f>IF(D211="","",IFERROR(INDEX(Cadastro_Atletas!$C$2:$C$401,MATCH(D211,Cadastro_Atletas!$D$2:$D$401,0)),""))</f>
        <v/>
      </c>
      <c r="I211">
        <f>IF(OR(G211&gt;=2,H211&gt;=1),"Sim","Não")</f>
        <v/>
      </c>
      <c r="J211">
        <f>IF(H211&gt;=1,"Cartão vermelho",IF(G211&gt;=2,"Dois amarelos",""))</f>
        <v/>
      </c>
    </row>
    <row r="212">
      <c r="E212">
        <f>IF(D212="","",IFERROR(INDEX(Cadastro_Atletas!$C$2:$C$401,MATCH(D212,Cadastro_Atletas!$D$2:$D$401,0)),""))</f>
        <v/>
      </c>
      <c r="I212">
        <f>IF(OR(G212&gt;=2,H212&gt;=1),"Sim","Não")</f>
        <v/>
      </c>
      <c r="J212">
        <f>IF(H212&gt;=1,"Cartão vermelho",IF(G212&gt;=2,"Dois amarelos",""))</f>
        <v/>
      </c>
    </row>
    <row r="213">
      <c r="E213">
        <f>IF(D213="","",IFERROR(INDEX(Cadastro_Atletas!$C$2:$C$401,MATCH(D213,Cadastro_Atletas!$D$2:$D$401,0)),""))</f>
        <v/>
      </c>
      <c r="I213">
        <f>IF(OR(G213&gt;=2,H213&gt;=1),"Sim","Não")</f>
        <v/>
      </c>
      <c r="J213">
        <f>IF(H213&gt;=1,"Cartão vermelho",IF(G213&gt;=2,"Dois amarelos",""))</f>
        <v/>
      </c>
    </row>
    <row r="214">
      <c r="E214">
        <f>IF(D214="","",IFERROR(INDEX(Cadastro_Atletas!$C$2:$C$401,MATCH(D214,Cadastro_Atletas!$D$2:$D$401,0)),""))</f>
        <v/>
      </c>
      <c r="I214">
        <f>IF(OR(G214&gt;=2,H214&gt;=1),"Sim","Não")</f>
        <v/>
      </c>
      <c r="J214">
        <f>IF(H214&gt;=1,"Cartão vermelho",IF(G214&gt;=2,"Dois amarelos",""))</f>
        <v/>
      </c>
    </row>
    <row r="215">
      <c r="E215">
        <f>IF(D215="","",IFERROR(INDEX(Cadastro_Atletas!$C$2:$C$401,MATCH(D215,Cadastro_Atletas!$D$2:$D$401,0)),""))</f>
        <v/>
      </c>
      <c r="I215">
        <f>IF(OR(G215&gt;=2,H215&gt;=1),"Sim","Não")</f>
        <v/>
      </c>
      <c r="J215">
        <f>IF(H215&gt;=1,"Cartão vermelho",IF(G215&gt;=2,"Dois amarelos",""))</f>
        <v/>
      </c>
    </row>
    <row r="216">
      <c r="E216">
        <f>IF(D216="","",IFERROR(INDEX(Cadastro_Atletas!$C$2:$C$401,MATCH(D216,Cadastro_Atletas!$D$2:$D$401,0)),""))</f>
        <v/>
      </c>
      <c r="I216">
        <f>IF(OR(G216&gt;=2,H216&gt;=1),"Sim","Não")</f>
        <v/>
      </c>
      <c r="J216">
        <f>IF(H216&gt;=1,"Cartão vermelho",IF(G216&gt;=2,"Dois amarelos",""))</f>
        <v/>
      </c>
    </row>
    <row r="217">
      <c r="E217">
        <f>IF(D217="","",IFERROR(INDEX(Cadastro_Atletas!$C$2:$C$401,MATCH(D217,Cadastro_Atletas!$D$2:$D$401,0)),""))</f>
        <v/>
      </c>
      <c r="I217">
        <f>IF(OR(G217&gt;=2,H217&gt;=1),"Sim","Não")</f>
        <v/>
      </c>
      <c r="J217">
        <f>IF(H217&gt;=1,"Cartão vermelho",IF(G217&gt;=2,"Dois amarelos",""))</f>
        <v/>
      </c>
    </row>
    <row r="218">
      <c r="E218">
        <f>IF(D218="","",IFERROR(INDEX(Cadastro_Atletas!$C$2:$C$401,MATCH(D218,Cadastro_Atletas!$D$2:$D$401,0)),""))</f>
        <v/>
      </c>
      <c r="I218">
        <f>IF(OR(G218&gt;=2,H218&gt;=1),"Sim","Não")</f>
        <v/>
      </c>
      <c r="J218">
        <f>IF(H218&gt;=1,"Cartão vermelho",IF(G218&gt;=2,"Dois amarelos",""))</f>
        <v/>
      </c>
    </row>
    <row r="219">
      <c r="E219">
        <f>IF(D219="","",IFERROR(INDEX(Cadastro_Atletas!$C$2:$C$401,MATCH(D219,Cadastro_Atletas!$D$2:$D$401,0)),""))</f>
        <v/>
      </c>
      <c r="I219">
        <f>IF(OR(G219&gt;=2,H219&gt;=1),"Sim","Não")</f>
        <v/>
      </c>
      <c r="J219">
        <f>IF(H219&gt;=1,"Cartão vermelho",IF(G219&gt;=2,"Dois amarelos",""))</f>
        <v/>
      </c>
    </row>
    <row r="220">
      <c r="E220">
        <f>IF(D220="","",IFERROR(INDEX(Cadastro_Atletas!$C$2:$C$401,MATCH(D220,Cadastro_Atletas!$D$2:$D$401,0)),""))</f>
        <v/>
      </c>
      <c r="I220">
        <f>IF(OR(G220&gt;=2,H220&gt;=1),"Sim","Não")</f>
        <v/>
      </c>
      <c r="J220">
        <f>IF(H220&gt;=1,"Cartão vermelho",IF(G220&gt;=2,"Dois amarelos",""))</f>
        <v/>
      </c>
    </row>
    <row r="221">
      <c r="E221">
        <f>IF(D221="","",IFERROR(INDEX(Cadastro_Atletas!$C$2:$C$401,MATCH(D221,Cadastro_Atletas!$D$2:$D$401,0)),""))</f>
        <v/>
      </c>
      <c r="I221">
        <f>IF(OR(G221&gt;=2,H221&gt;=1),"Sim","Não")</f>
        <v/>
      </c>
      <c r="J221">
        <f>IF(H221&gt;=1,"Cartão vermelho",IF(G221&gt;=2,"Dois amarelos",""))</f>
        <v/>
      </c>
    </row>
    <row r="222">
      <c r="E222">
        <f>IF(D222="","",IFERROR(INDEX(Cadastro_Atletas!$C$2:$C$401,MATCH(D222,Cadastro_Atletas!$D$2:$D$401,0)),""))</f>
        <v/>
      </c>
      <c r="I222">
        <f>IF(OR(G222&gt;=2,H222&gt;=1),"Sim","Não")</f>
        <v/>
      </c>
      <c r="J222">
        <f>IF(H222&gt;=1,"Cartão vermelho",IF(G222&gt;=2,"Dois amarelos",""))</f>
        <v/>
      </c>
    </row>
    <row r="223">
      <c r="E223">
        <f>IF(D223="","",IFERROR(INDEX(Cadastro_Atletas!$C$2:$C$401,MATCH(D223,Cadastro_Atletas!$D$2:$D$401,0)),""))</f>
        <v/>
      </c>
      <c r="I223">
        <f>IF(OR(G223&gt;=2,H223&gt;=1),"Sim","Não")</f>
        <v/>
      </c>
      <c r="J223">
        <f>IF(H223&gt;=1,"Cartão vermelho",IF(G223&gt;=2,"Dois amarelos",""))</f>
        <v/>
      </c>
    </row>
    <row r="224">
      <c r="E224">
        <f>IF(D224="","",IFERROR(INDEX(Cadastro_Atletas!$C$2:$C$401,MATCH(D224,Cadastro_Atletas!$D$2:$D$401,0)),""))</f>
        <v/>
      </c>
      <c r="I224">
        <f>IF(OR(G224&gt;=2,H224&gt;=1),"Sim","Não")</f>
        <v/>
      </c>
      <c r="J224">
        <f>IF(H224&gt;=1,"Cartão vermelho",IF(G224&gt;=2,"Dois amarelos",""))</f>
        <v/>
      </c>
    </row>
    <row r="225">
      <c r="E225">
        <f>IF(D225="","",IFERROR(INDEX(Cadastro_Atletas!$C$2:$C$401,MATCH(D225,Cadastro_Atletas!$D$2:$D$401,0)),""))</f>
        <v/>
      </c>
      <c r="I225">
        <f>IF(OR(G225&gt;=2,H225&gt;=1),"Sim","Não")</f>
        <v/>
      </c>
      <c r="J225">
        <f>IF(H225&gt;=1,"Cartão vermelho",IF(G225&gt;=2,"Dois amarelos",""))</f>
        <v/>
      </c>
    </row>
    <row r="226">
      <c r="E226">
        <f>IF(D226="","",IFERROR(INDEX(Cadastro_Atletas!$C$2:$C$401,MATCH(D226,Cadastro_Atletas!$D$2:$D$401,0)),""))</f>
        <v/>
      </c>
      <c r="I226">
        <f>IF(OR(G226&gt;=2,H226&gt;=1),"Sim","Não")</f>
        <v/>
      </c>
      <c r="J226">
        <f>IF(H226&gt;=1,"Cartão vermelho",IF(G226&gt;=2,"Dois amarelos",""))</f>
        <v/>
      </c>
    </row>
    <row r="227">
      <c r="E227">
        <f>IF(D227="","",IFERROR(INDEX(Cadastro_Atletas!$C$2:$C$401,MATCH(D227,Cadastro_Atletas!$D$2:$D$401,0)),""))</f>
        <v/>
      </c>
      <c r="I227">
        <f>IF(OR(G227&gt;=2,H227&gt;=1),"Sim","Não")</f>
        <v/>
      </c>
      <c r="J227">
        <f>IF(H227&gt;=1,"Cartão vermelho",IF(G227&gt;=2,"Dois amarelos",""))</f>
        <v/>
      </c>
    </row>
    <row r="228">
      <c r="E228">
        <f>IF(D228="","",IFERROR(INDEX(Cadastro_Atletas!$C$2:$C$401,MATCH(D228,Cadastro_Atletas!$D$2:$D$401,0)),""))</f>
        <v/>
      </c>
      <c r="I228">
        <f>IF(OR(G228&gt;=2,H228&gt;=1),"Sim","Não")</f>
        <v/>
      </c>
      <c r="J228">
        <f>IF(H228&gt;=1,"Cartão vermelho",IF(G228&gt;=2,"Dois amarelos",""))</f>
        <v/>
      </c>
    </row>
    <row r="229">
      <c r="E229">
        <f>IF(D229="","",IFERROR(INDEX(Cadastro_Atletas!$C$2:$C$401,MATCH(D229,Cadastro_Atletas!$D$2:$D$401,0)),""))</f>
        <v/>
      </c>
      <c r="I229">
        <f>IF(OR(G229&gt;=2,H229&gt;=1),"Sim","Não")</f>
        <v/>
      </c>
      <c r="J229">
        <f>IF(H229&gt;=1,"Cartão vermelho",IF(G229&gt;=2,"Dois amarelos",""))</f>
        <v/>
      </c>
    </row>
    <row r="230">
      <c r="E230">
        <f>IF(D230="","",IFERROR(INDEX(Cadastro_Atletas!$C$2:$C$401,MATCH(D230,Cadastro_Atletas!$D$2:$D$401,0)),""))</f>
        <v/>
      </c>
      <c r="I230">
        <f>IF(OR(G230&gt;=2,H230&gt;=1),"Sim","Não")</f>
        <v/>
      </c>
      <c r="J230">
        <f>IF(H230&gt;=1,"Cartão vermelho",IF(G230&gt;=2,"Dois amarelos",""))</f>
        <v/>
      </c>
    </row>
    <row r="231">
      <c r="E231">
        <f>IF(D231="","",IFERROR(INDEX(Cadastro_Atletas!$C$2:$C$401,MATCH(D231,Cadastro_Atletas!$D$2:$D$401,0)),""))</f>
        <v/>
      </c>
      <c r="I231">
        <f>IF(OR(G231&gt;=2,H231&gt;=1),"Sim","Não")</f>
        <v/>
      </c>
      <c r="J231">
        <f>IF(H231&gt;=1,"Cartão vermelho",IF(G231&gt;=2,"Dois amarelos",""))</f>
        <v/>
      </c>
    </row>
    <row r="232">
      <c r="E232">
        <f>IF(D232="","",IFERROR(INDEX(Cadastro_Atletas!$C$2:$C$401,MATCH(D232,Cadastro_Atletas!$D$2:$D$401,0)),""))</f>
        <v/>
      </c>
      <c r="I232">
        <f>IF(OR(G232&gt;=2,H232&gt;=1),"Sim","Não")</f>
        <v/>
      </c>
      <c r="J232">
        <f>IF(H232&gt;=1,"Cartão vermelho",IF(G232&gt;=2,"Dois amarelos",""))</f>
        <v/>
      </c>
    </row>
    <row r="233">
      <c r="E233">
        <f>IF(D233="","",IFERROR(INDEX(Cadastro_Atletas!$C$2:$C$401,MATCH(D233,Cadastro_Atletas!$D$2:$D$401,0)),""))</f>
        <v/>
      </c>
      <c r="I233">
        <f>IF(OR(G233&gt;=2,H233&gt;=1),"Sim","Não")</f>
        <v/>
      </c>
      <c r="J233">
        <f>IF(H233&gt;=1,"Cartão vermelho",IF(G233&gt;=2,"Dois amarelos",""))</f>
        <v/>
      </c>
    </row>
    <row r="234">
      <c r="E234">
        <f>IF(D234="","",IFERROR(INDEX(Cadastro_Atletas!$C$2:$C$401,MATCH(D234,Cadastro_Atletas!$D$2:$D$401,0)),""))</f>
        <v/>
      </c>
      <c r="I234">
        <f>IF(OR(G234&gt;=2,H234&gt;=1),"Sim","Não")</f>
        <v/>
      </c>
      <c r="J234">
        <f>IF(H234&gt;=1,"Cartão vermelho",IF(G234&gt;=2,"Dois amarelos",""))</f>
        <v/>
      </c>
    </row>
    <row r="235">
      <c r="E235">
        <f>IF(D235="","",IFERROR(INDEX(Cadastro_Atletas!$C$2:$C$401,MATCH(D235,Cadastro_Atletas!$D$2:$D$401,0)),""))</f>
        <v/>
      </c>
      <c r="I235">
        <f>IF(OR(G235&gt;=2,H235&gt;=1),"Sim","Não")</f>
        <v/>
      </c>
      <c r="J235">
        <f>IF(H235&gt;=1,"Cartão vermelho",IF(G235&gt;=2,"Dois amarelos",""))</f>
        <v/>
      </c>
    </row>
    <row r="236">
      <c r="E236">
        <f>IF(D236="","",IFERROR(INDEX(Cadastro_Atletas!$C$2:$C$401,MATCH(D236,Cadastro_Atletas!$D$2:$D$401,0)),""))</f>
        <v/>
      </c>
      <c r="I236">
        <f>IF(OR(G236&gt;=2,H236&gt;=1),"Sim","Não")</f>
        <v/>
      </c>
      <c r="J236">
        <f>IF(H236&gt;=1,"Cartão vermelho",IF(G236&gt;=2,"Dois amarelos",""))</f>
        <v/>
      </c>
    </row>
    <row r="237">
      <c r="E237">
        <f>IF(D237="","",IFERROR(INDEX(Cadastro_Atletas!$C$2:$C$401,MATCH(D237,Cadastro_Atletas!$D$2:$D$401,0)),""))</f>
        <v/>
      </c>
      <c r="I237">
        <f>IF(OR(G237&gt;=2,H237&gt;=1),"Sim","Não")</f>
        <v/>
      </c>
      <c r="J237">
        <f>IF(H237&gt;=1,"Cartão vermelho",IF(G237&gt;=2,"Dois amarelos",""))</f>
        <v/>
      </c>
    </row>
    <row r="238">
      <c r="E238">
        <f>IF(D238="","",IFERROR(INDEX(Cadastro_Atletas!$C$2:$C$401,MATCH(D238,Cadastro_Atletas!$D$2:$D$401,0)),""))</f>
        <v/>
      </c>
      <c r="I238">
        <f>IF(OR(G238&gt;=2,H238&gt;=1),"Sim","Não")</f>
        <v/>
      </c>
      <c r="J238">
        <f>IF(H238&gt;=1,"Cartão vermelho",IF(G238&gt;=2,"Dois amarelos",""))</f>
        <v/>
      </c>
    </row>
    <row r="239">
      <c r="E239">
        <f>IF(D239="","",IFERROR(INDEX(Cadastro_Atletas!$C$2:$C$401,MATCH(D239,Cadastro_Atletas!$D$2:$D$401,0)),""))</f>
        <v/>
      </c>
      <c r="I239">
        <f>IF(OR(G239&gt;=2,H239&gt;=1),"Sim","Não")</f>
        <v/>
      </c>
      <c r="J239">
        <f>IF(H239&gt;=1,"Cartão vermelho",IF(G239&gt;=2,"Dois amarelos",""))</f>
        <v/>
      </c>
    </row>
    <row r="240">
      <c r="E240">
        <f>IF(D240="","",IFERROR(INDEX(Cadastro_Atletas!$C$2:$C$401,MATCH(D240,Cadastro_Atletas!$D$2:$D$401,0)),""))</f>
        <v/>
      </c>
      <c r="I240">
        <f>IF(OR(G240&gt;=2,H240&gt;=1),"Sim","Não")</f>
        <v/>
      </c>
      <c r="J240">
        <f>IF(H240&gt;=1,"Cartão vermelho",IF(G240&gt;=2,"Dois amarelos",""))</f>
        <v/>
      </c>
    </row>
    <row r="241">
      <c r="E241">
        <f>IF(D241="","",IFERROR(INDEX(Cadastro_Atletas!$C$2:$C$401,MATCH(D241,Cadastro_Atletas!$D$2:$D$401,0)),""))</f>
        <v/>
      </c>
      <c r="I241">
        <f>IF(OR(G241&gt;=2,H241&gt;=1),"Sim","Não")</f>
        <v/>
      </c>
      <c r="J241">
        <f>IF(H241&gt;=1,"Cartão vermelho",IF(G241&gt;=2,"Dois amarelos",""))</f>
        <v/>
      </c>
    </row>
    <row r="242">
      <c r="E242">
        <f>IF(D242="","",IFERROR(INDEX(Cadastro_Atletas!$C$2:$C$401,MATCH(D242,Cadastro_Atletas!$D$2:$D$401,0)),""))</f>
        <v/>
      </c>
      <c r="I242">
        <f>IF(OR(G242&gt;=2,H242&gt;=1),"Sim","Não")</f>
        <v/>
      </c>
      <c r="J242">
        <f>IF(H242&gt;=1,"Cartão vermelho",IF(G242&gt;=2,"Dois amarelos",""))</f>
        <v/>
      </c>
    </row>
    <row r="243">
      <c r="E243">
        <f>IF(D243="","",IFERROR(INDEX(Cadastro_Atletas!$C$2:$C$401,MATCH(D243,Cadastro_Atletas!$D$2:$D$401,0)),""))</f>
        <v/>
      </c>
      <c r="I243">
        <f>IF(OR(G243&gt;=2,H243&gt;=1),"Sim","Não")</f>
        <v/>
      </c>
      <c r="J243">
        <f>IF(H243&gt;=1,"Cartão vermelho",IF(G243&gt;=2,"Dois amarelos",""))</f>
        <v/>
      </c>
    </row>
    <row r="244">
      <c r="E244">
        <f>IF(D244="","",IFERROR(INDEX(Cadastro_Atletas!$C$2:$C$401,MATCH(D244,Cadastro_Atletas!$D$2:$D$401,0)),""))</f>
        <v/>
      </c>
      <c r="I244">
        <f>IF(OR(G244&gt;=2,H244&gt;=1),"Sim","Não")</f>
        <v/>
      </c>
      <c r="J244">
        <f>IF(H244&gt;=1,"Cartão vermelho",IF(G244&gt;=2,"Dois amarelos",""))</f>
        <v/>
      </c>
    </row>
    <row r="245">
      <c r="E245">
        <f>IF(D245="","",IFERROR(INDEX(Cadastro_Atletas!$C$2:$C$401,MATCH(D245,Cadastro_Atletas!$D$2:$D$401,0)),""))</f>
        <v/>
      </c>
      <c r="I245">
        <f>IF(OR(G245&gt;=2,H245&gt;=1),"Sim","Não")</f>
        <v/>
      </c>
      <c r="J245">
        <f>IF(H245&gt;=1,"Cartão vermelho",IF(G245&gt;=2,"Dois amarelos",""))</f>
        <v/>
      </c>
    </row>
    <row r="246">
      <c r="E246">
        <f>IF(D246="","",IFERROR(INDEX(Cadastro_Atletas!$C$2:$C$401,MATCH(D246,Cadastro_Atletas!$D$2:$D$401,0)),""))</f>
        <v/>
      </c>
      <c r="I246">
        <f>IF(OR(G246&gt;=2,H246&gt;=1),"Sim","Não")</f>
        <v/>
      </c>
      <c r="J246">
        <f>IF(H246&gt;=1,"Cartão vermelho",IF(G246&gt;=2,"Dois amarelos",""))</f>
        <v/>
      </c>
    </row>
    <row r="247">
      <c r="E247">
        <f>IF(D247="","",IFERROR(INDEX(Cadastro_Atletas!$C$2:$C$401,MATCH(D247,Cadastro_Atletas!$D$2:$D$401,0)),""))</f>
        <v/>
      </c>
      <c r="I247">
        <f>IF(OR(G247&gt;=2,H247&gt;=1),"Sim","Não")</f>
        <v/>
      </c>
      <c r="J247">
        <f>IF(H247&gt;=1,"Cartão vermelho",IF(G247&gt;=2,"Dois amarelos",""))</f>
        <v/>
      </c>
    </row>
    <row r="248">
      <c r="E248">
        <f>IF(D248="","",IFERROR(INDEX(Cadastro_Atletas!$C$2:$C$401,MATCH(D248,Cadastro_Atletas!$D$2:$D$401,0)),""))</f>
        <v/>
      </c>
      <c r="I248">
        <f>IF(OR(G248&gt;=2,H248&gt;=1),"Sim","Não")</f>
        <v/>
      </c>
      <c r="J248">
        <f>IF(H248&gt;=1,"Cartão vermelho",IF(G248&gt;=2,"Dois amarelos",""))</f>
        <v/>
      </c>
    </row>
    <row r="249">
      <c r="E249">
        <f>IF(D249="","",IFERROR(INDEX(Cadastro_Atletas!$C$2:$C$401,MATCH(D249,Cadastro_Atletas!$D$2:$D$401,0)),""))</f>
        <v/>
      </c>
      <c r="I249">
        <f>IF(OR(G249&gt;=2,H249&gt;=1),"Sim","Não")</f>
        <v/>
      </c>
      <c r="J249">
        <f>IF(H249&gt;=1,"Cartão vermelho",IF(G249&gt;=2,"Dois amarelos",""))</f>
        <v/>
      </c>
    </row>
    <row r="250">
      <c r="E250">
        <f>IF(D250="","",IFERROR(INDEX(Cadastro_Atletas!$C$2:$C$401,MATCH(D250,Cadastro_Atletas!$D$2:$D$401,0)),""))</f>
        <v/>
      </c>
      <c r="I250">
        <f>IF(OR(G250&gt;=2,H250&gt;=1),"Sim","Não")</f>
        <v/>
      </c>
      <c r="J250">
        <f>IF(H250&gt;=1,"Cartão vermelho",IF(G250&gt;=2,"Dois amarelos",""))</f>
        <v/>
      </c>
    </row>
    <row r="251">
      <c r="E251">
        <f>IF(D251="","",IFERROR(INDEX(Cadastro_Atletas!$C$2:$C$401,MATCH(D251,Cadastro_Atletas!$D$2:$D$401,0)),""))</f>
        <v/>
      </c>
      <c r="I251">
        <f>IF(OR(G251&gt;=2,H251&gt;=1),"Sim","Não")</f>
        <v/>
      </c>
      <c r="J251">
        <f>IF(H251&gt;=1,"Cartão vermelho",IF(G251&gt;=2,"Dois amarelos",""))</f>
        <v/>
      </c>
    </row>
    <row r="252">
      <c r="E252">
        <f>IF(D252="","",IFERROR(INDEX(Cadastro_Atletas!$C$2:$C$401,MATCH(D252,Cadastro_Atletas!$D$2:$D$401,0)),""))</f>
        <v/>
      </c>
      <c r="I252">
        <f>IF(OR(G252&gt;=2,H252&gt;=1),"Sim","Não")</f>
        <v/>
      </c>
      <c r="J252">
        <f>IF(H252&gt;=1,"Cartão vermelho",IF(G252&gt;=2,"Dois amarelos",""))</f>
        <v/>
      </c>
    </row>
    <row r="253">
      <c r="E253">
        <f>IF(D253="","",IFERROR(INDEX(Cadastro_Atletas!$C$2:$C$401,MATCH(D253,Cadastro_Atletas!$D$2:$D$401,0)),""))</f>
        <v/>
      </c>
      <c r="I253">
        <f>IF(OR(G253&gt;=2,H253&gt;=1),"Sim","Não")</f>
        <v/>
      </c>
      <c r="J253">
        <f>IF(H253&gt;=1,"Cartão vermelho",IF(G253&gt;=2,"Dois amarelos",""))</f>
        <v/>
      </c>
    </row>
    <row r="254">
      <c r="E254">
        <f>IF(D254="","",IFERROR(INDEX(Cadastro_Atletas!$C$2:$C$401,MATCH(D254,Cadastro_Atletas!$D$2:$D$401,0)),""))</f>
        <v/>
      </c>
      <c r="I254">
        <f>IF(OR(G254&gt;=2,H254&gt;=1),"Sim","Não")</f>
        <v/>
      </c>
      <c r="J254">
        <f>IF(H254&gt;=1,"Cartão vermelho",IF(G254&gt;=2,"Dois amarelos",""))</f>
        <v/>
      </c>
    </row>
    <row r="255">
      <c r="E255">
        <f>IF(D255="","",IFERROR(INDEX(Cadastro_Atletas!$C$2:$C$401,MATCH(D255,Cadastro_Atletas!$D$2:$D$401,0)),""))</f>
        <v/>
      </c>
      <c r="I255">
        <f>IF(OR(G255&gt;=2,H255&gt;=1),"Sim","Não")</f>
        <v/>
      </c>
      <c r="J255">
        <f>IF(H255&gt;=1,"Cartão vermelho",IF(G255&gt;=2,"Dois amarelos",""))</f>
        <v/>
      </c>
    </row>
    <row r="256">
      <c r="E256">
        <f>IF(D256="","",IFERROR(INDEX(Cadastro_Atletas!$C$2:$C$401,MATCH(D256,Cadastro_Atletas!$D$2:$D$401,0)),""))</f>
        <v/>
      </c>
      <c r="I256">
        <f>IF(OR(G256&gt;=2,H256&gt;=1),"Sim","Não")</f>
        <v/>
      </c>
      <c r="J256">
        <f>IF(H256&gt;=1,"Cartão vermelho",IF(G256&gt;=2,"Dois amarelos",""))</f>
        <v/>
      </c>
    </row>
    <row r="257">
      <c r="E257">
        <f>IF(D257="","",IFERROR(INDEX(Cadastro_Atletas!$C$2:$C$401,MATCH(D257,Cadastro_Atletas!$D$2:$D$401,0)),""))</f>
        <v/>
      </c>
      <c r="I257">
        <f>IF(OR(G257&gt;=2,H257&gt;=1),"Sim","Não")</f>
        <v/>
      </c>
      <c r="J257">
        <f>IF(H257&gt;=1,"Cartão vermelho",IF(G257&gt;=2,"Dois amarelos",""))</f>
        <v/>
      </c>
    </row>
    <row r="258">
      <c r="E258">
        <f>IF(D258="","",IFERROR(INDEX(Cadastro_Atletas!$C$2:$C$401,MATCH(D258,Cadastro_Atletas!$D$2:$D$401,0)),""))</f>
        <v/>
      </c>
      <c r="I258">
        <f>IF(OR(G258&gt;=2,H258&gt;=1),"Sim","Não")</f>
        <v/>
      </c>
      <c r="J258">
        <f>IF(H258&gt;=1,"Cartão vermelho",IF(G258&gt;=2,"Dois amarelos",""))</f>
        <v/>
      </c>
    </row>
    <row r="259">
      <c r="E259">
        <f>IF(D259="","",IFERROR(INDEX(Cadastro_Atletas!$C$2:$C$401,MATCH(D259,Cadastro_Atletas!$D$2:$D$401,0)),""))</f>
        <v/>
      </c>
      <c r="I259">
        <f>IF(OR(G259&gt;=2,H259&gt;=1),"Sim","Não")</f>
        <v/>
      </c>
      <c r="J259">
        <f>IF(H259&gt;=1,"Cartão vermelho",IF(G259&gt;=2,"Dois amarelos",""))</f>
        <v/>
      </c>
    </row>
    <row r="260">
      <c r="E260">
        <f>IF(D260="","",IFERROR(INDEX(Cadastro_Atletas!$C$2:$C$401,MATCH(D260,Cadastro_Atletas!$D$2:$D$401,0)),""))</f>
        <v/>
      </c>
      <c r="I260">
        <f>IF(OR(G260&gt;=2,H260&gt;=1),"Sim","Não")</f>
        <v/>
      </c>
      <c r="J260">
        <f>IF(H260&gt;=1,"Cartão vermelho",IF(G260&gt;=2,"Dois amarelos",""))</f>
        <v/>
      </c>
    </row>
    <row r="261">
      <c r="E261">
        <f>IF(D261="","",IFERROR(INDEX(Cadastro_Atletas!$C$2:$C$401,MATCH(D261,Cadastro_Atletas!$D$2:$D$401,0)),""))</f>
        <v/>
      </c>
      <c r="I261">
        <f>IF(OR(G261&gt;=2,H261&gt;=1),"Sim","Não")</f>
        <v/>
      </c>
      <c r="J261">
        <f>IF(H261&gt;=1,"Cartão vermelho",IF(G261&gt;=2,"Dois amarelos",""))</f>
        <v/>
      </c>
    </row>
    <row r="262">
      <c r="E262">
        <f>IF(D262="","",IFERROR(INDEX(Cadastro_Atletas!$C$2:$C$401,MATCH(D262,Cadastro_Atletas!$D$2:$D$401,0)),""))</f>
        <v/>
      </c>
      <c r="I262">
        <f>IF(OR(G262&gt;=2,H262&gt;=1),"Sim","Não")</f>
        <v/>
      </c>
      <c r="J262">
        <f>IF(H262&gt;=1,"Cartão vermelho",IF(G262&gt;=2,"Dois amarelos",""))</f>
        <v/>
      </c>
    </row>
    <row r="263">
      <c r="E263">
        <f>IF(D263="","",IFERROR(INDEX(Cadastro_Atletas!$C$2:$C$401,MATCH(D263,Cadastro_Atletas!$D$2:$D$401,0)),""))</f>
        <v/>
      </c>
      <c r="I263">
        <f>IF(OR(G263&gt;=2,H263&gt;=1),"Sim","Não")</f>
        <v/>
      </c>
      <c r="J263">
        <f>IF(H263&gt;=1,"Cartão vermelho",IF(G263&gt;=2,"Dois amarelos",""))</f>
        <v/>
      </c>
    </row>
    <row r="264">
      <c r="E264">
        <f>IF(D264="","",IFERROR(INDEX(Cadastro_Atletas!$C$2:$C$401,MATCH(D264,Cadastro_Atletas!$D$2:$D$401,0)),""))</f>
        <v/>
      </c>
      <c r="I264">
        <f>IF(OR(G264&gt;=2,H264&gt;=1),"Sim","Não")</f>
        <v/>
      </c>
      <c r="J264">
        <f>IF(H264&gt;=1,"Cartão vermelho",IF(G264&gt;=2,"Dois amarelos",""))</f>
        <v/>
      </c>
    </row>
    <row r="265">
      <c r="E265">
        <f>IF(D265="","",IFERROR(INDEX(Cadastro_Atletas!$C$2:$C$401,MATCH(D265,Cadastro_Atletas!$D$2:$D$401,0)),""))</f>
        <v/>
      </c>
      <c r="I265">
        <f>IF(OR(G265&gt;=2,H265&gt;=1),"Sim","Não")</f>
        <v/>
      </c>
      <c r="J265">
        <f>IF(H265&gt;=1,"Cartão vermelho",IF(G265&gt;=2,"Dois amarelos",""))</f>
        <v/>
      </c>
    </row>
    <row r="266">
      <c r="E266">
        <f>IF(D266="","",IFERROR(INDEX(Cadastro_Atletas!$C$2:$C$401,MATCH(D266,Cadastro_Atletas!$D$2:$D$401,0)),""))</f>
        <v/>
      </c>
      <c r="I266">
        <f>IF(OR(G266&gt;=2,H266&gt;=1),"Sim","Não")</f>
        <v/>
      </c>
      <c r="J266">
        <f>IF(H266&gt;=1,"Cartão vermelho",IF(G266&gt;=2,"Dois amarelos",""))</f>
        <v/>
      </c>
    </row>
    <row r="267">
      <c r="E267">
        <f>IF(D267="","",IFERROR(INDEX(Cadastro_Atletas!$C$2:$C$401,MATCH(D267,Cadastro_Atletas!$D$2:$D$401,0)),""))</f>
        <v/>
      </c>
      <c r="I267">
        <f>IF(OR(G267&gt;=2,H267&gt;=1),"Sim","Não")</f>
        <v/>
      </c>
      <c r="J267">
        <f>IF(H267&gt;=1,"Cartão vermelho",IF(G267&gt;=2,"Dois amarelos",""))</f>
        <v/>
      </c>
    </row>
    <row r="268">
      <c r="E268">
        <f>IF(D268="","",IFERROR(INDEX(Cadastro_Atletas!$C$2:$C$401,MATCH(D268,Cadastro_Atletas!$D$2:$D$401,0)),""))</f>
        <v/>
      </c>
      <c r="I268">
        <f>IF(OR(G268&gt;=2,H268&gt;=1),"Sim","Não")</f>
        <v/>
      </c>
      <c r="J268">
        <f>IF(H268&gt;=1,"Cartão vermelho",IF(G268&gt;=2,"Dois amarelos",""))</f>
        <v/>
      </c>
    </row>
    <row r="269">
      <c r="E269">
        <f>IF(D269="","",IFERROR(INDEX(Cadastro_Atletas!$C$2:$C$401,MATCH(D269,Cadastro_Atletas!$D$2:$D$401,0)),""))</f>
        <v/>
      </c>
      <c r="I269">
        <f>IF(OR(G269&gt;=2,H269&gt;=1),"Sim","Não")</f>
        <v/>
      </c>
      <c r="J269">
        <f>IF(H269&gt;=1,"Cartão vermelho",IF(G269&gt;=2,"Dois amarelos",""))</f>
        <v/>
      </c>
    </row>
    <row r="270">
      <c r="E270">
        <f>IF(D270="","",IFERROR(INDEX(Cadastro_Atletas!$C$2:$C$401,MATCH(D270,Cadastro_Atletas!$D$2:$D$401,0)),""))</f>
        <v/>
      </c>
      <c r="I270">
        <f>IF(OR(G270&gt;=2,H270&gt;=1),"Sim","Não")</f>
        <v/>
      </c>
      <c r="J270">
        <f>IF(H270&gt;=1,"Cartão vermelho",IF(G270&gt;=2,"Dois amarelos",""))</f>
        <v/>
      </c>
    </row>
    <row r="271">
      <c r="E271">
        <f>IF(D271="","",IFERROR(INDEX(Cadastro_Atletas!$C$2:$C$401,MATCH(D271,Cadastro_Atletas!$D$2:$D$401,0)),""))</f>
        <v/>
      </c>
      <c r="I271">
        <f>IF(OR(G271&gt;=2,H271&gt;=1),"Sim","Não")</f>
        <v/>
      </c>
      <c r="J271">
        <f>IF(H271&gt;=1,"Cartão vermelho",IF(G271&gt;=2,"Dois amarelos",""))</f>
        <v/>
      </c>
    </row>
    <row r="272">
      <c r="E272">
        <f>IF(D272="","",IFERROR(INDEX(Cadastro_Atletas!$C$2:$C$401,MATCH(D272,Cadastro_Atletas!$D$2:$D$401,0)),""))</f>
        <v/>
      </c>
      <c r="I272">
        <f>IF(OR(G272&gt;=2,H272&gt;=1),"Sim","Não")</f>
        <v/>
      </c>
      <c r="J272">
        <f>IF(H272&gt;=1,"Cartão vermelho",IF(G272&gt;=2,"Dois amarelos",""))</f>
        <v/>
      </c>
    </row>
    <row r="273">
      <c r="E273">
        <f>IF(D273="","",IFERROR(INDEX(Cadastro_Atletas!$C$2:$C$401,MATCH(D273,Cadastro_Atletas!$D$2:$D$401,0)),""))</f>
        <v/>
      </c>
      <c r="I273">
        <f>IF(OR(G273&gt;=2,H273&gt;=1),"Sim","Não")</f>
        <v/>
      </c>
      <c r="J273">
        <f>IF(H273&gt;=1,"Cartão vermelho",IF(G273&gt;=2,"Dois amarelos",""))</f>
        <v/>
      </c>
    </row>
    <row r="274">
      <c r="E274">
        <f>IF(D274="","",IFERROR(INDEX(Cadastro_Atletas!$C$2:$C$401,MATCH(D274,Cadastro_Atletas!$D$2:$D$401,0)),""))</f>
        <v/>
      </c>
      <c r="I274">
        <f>IF(OR(G274&gt;=2,H274&gt;=1),"Sim","Não")</f>
        <v/>
      </c>
      <c r="J274">
        <f>IF(H274&gt;=1,"Cartão vermelho",IF(G274&gt;=2,"Dois amarelos",""))</f>
        <v/>
      </c>
    </row>
    <row r="275">
      <c r="E275">
        <f>IF(D275="","",IFERROR(INDEX(Cadastro_Atletas!$C$2:$C$401,MATCH(D275,Cadastro_Atletas!$D$2:$D$401,0)),""))</f>
        <v/>
      </c>
      <c r="I275">
        <f>IF(OR(G275&gt;=2,H275&gt;=1),"Sim","Não")</f>
        <v/>
      </c>
      <c r="J275">
        <f>IF(H275&gt;=1,"Cartão vermelho",IF(G275&gt;=2,"Dois amarelos",""))</f>
        <v/>
      </c>
    </row>
    <row r="276">
      <c r="E276">
        <f>IF(D276="","",IFERROR(INDEX(Cadastro_Atletas!$C$2:$C$401,MATCH(D276,Cadastro_Atletas!$D$2:$D$401,0)),""))</f>
        <v/>
      </c>
      <c r="I276">
        <f>IF(OR(G276&gt;=2,H276&gt;=1),"Sim","Não")</f>
        <v/>
      </c>
      <c r="J276">
        <f>IF(H276&gt;=1,"Cartão vermelho",IF(G276&gt;=2,"Dois amarelos",""))</f>
        <v/>
      </c>
    </row>
    <row r="277">
      <c r="E277">
        <f>IF(D277="","",IFERROR(INDEX(Cadastro_Atletas!$C$2:$C$401,MATCH(D277,Cadastro_Atletas!$D$2:$D$401,0)),""))</f>
        <v/>
      </c>
      <c r="I277">
        <f>IF(OR(G277&gt;=2,H277&gt;=1),"Sim","Não")</f>
        <v/>
      </c>
      <c r="J277">
        <f>IF(H277&gt;=1,"Cartão vermelho",IF(G277&gt;=2,"Dois amarelos",""))</f>
        <v/>
      </c>
    </row>
    <row r="278">
      <c r="E278">
        <f>IF(D278="","",IFERROR(INDEX(Cadastro_Atletas!$C$2:$C$401,MATCH(D278,Cadastro_Atletas!$D$2:$D$401,0)),""))</f>
        <v/>
      </c>
      <c r="I278">
        <f>IF(OR(G278&gt;=2,H278&gt;=1),"Sim","Não")</f>
        <v/>
      </c>
      <c r="J278">
        <f>IF(H278&gt;=1,"Cartão vermelho",IF(G278&gt;=2,"Dois amarelos",""))</f>
        <v/>
      </c>
    </row>
    <row r="279">
      <c r="E279">
        <f>IF(D279="","",IFERROR(INDEX(Cadastro_Atletas!$C$2:$C$401,MATCH(D279,Cadastro_Atletas!$D$2:$D$401,0)),""))</f>
        <v/>
      </c>
      <c r="I279">
        <f>IF(OR(G279&gt;=2,H279&gt;=1),"Sim","Não")</f>
        <v/>
      </c>
      <c r="J279">
        <f>IF(H279&gt;=1,"Cartão vermelho",IF(G279&gt;=2,"Dois amarelos",""))</f>
        <v/>
      </c>
    </row>
    <row r="280">
      <c r="E280">
        <f>IF(D280="","",IFERROR(INDEX(Cadastro_Atletas!$C$2:$C$401,MATCH(D280,Cadastro_Atletas!$D$2:$D$401,0)),""))</f>
        <v/>
      </c>
      <c r="I280">
        <f>IF(OR(G280&gt;=2,H280&gt;=1),"Sim","Não")</f>
        <v/>
      </c>
      <c r="J280">
        <f>IF(H280&gt;=1,"Cartão vermelho",IF(G280&gt;=2,"Dois amarelos",""))</f>
        <v/>
      </c>
    </row>
    <row r="281">
      <c r="E281">
        <f>IF(D281="","",IFERROR(INDEX(Cadastro_Atletas!$C$2:$C$401,MATCH(D281,Cadastro_Atletas!$D$2:$D$401,0)),""))</f>
        <v/>
      </c>
      <c r="I281">
        <f>IF(OR(G281&gt;=2,H281&gt;=1),"Sim","Não")</f>
        <v/>
      </c>
      <c r="J281">
        <f>IF(H281&gt;=1,"Cartão vermelho",IF(G281&gt;=2,"Dois amarelos",""))</f>
        <v/>
      </c>
    </row>
    <row r="282">
      <c r="E282">
        <f>IF(D282="","",IFERROR(INDEX(Cadastro_Atletas!$C$2:$C$401,MATCH(D282,Cadastro_Atletas!$D$2:$D$401,0)),""))</f>
        <v/>
      </c>
      <c r="I282">
        <f>IF(OR(G282&gt;=2,H282&gt;=1),"Sim","Não")</f>
        <v/>
      </c>
      <c r="J282">
        <f>IF(H282&gt;=1,"Cartão vermelho",IF(G282&gt;=2,"Dois amarelos",""))</f>
        <v/>
      </c>
    </row>
    <row r="283">
      <c r="E283">
        <f>IF(D283="","",IFERROR(INDEX(Cadastro_Atletas!$C$2:$C$401,MATCH(D283,Cadastro_Atletas!$D$2:$D$401,0)),""))</f>
        <v/>
      </c>
      <c r="I283">
        <f>IF(OR(G283&gt;=2,H283&gt;=1),"Sim","Não")</f>
        <v/>
      </c>
      <c r="J283">
        <f>IF(H283&gt;=1,"Cartão vermelho",IF(G283&gt;=2,"Dois amarelos",""))</f>
        <v/>
      </c>
    </row>
    <row r="284">
      <c r="E284">
        <f>IF(D284="","",IFERROR(INDEX(Cadastro_Atletas!$C$2:$C$401,MATCH(D284,Cadastro_Atletas!$D$2:$D$401,0)),""))</f>
        <v/>
      </c>
      <c r="I284">
        <f>IF(OR(G284&gt;=2,H284&gt;=1),"Sim","Não")</f>
        <v/>
      </c>
      <c r="J284">
        <f>IF(H284&gt;=1,"Cartão vermelho",IF(G284&gt;=2,"Dois amarelos",""))</f>
        <v/>
      </c>
    </row>
    <row r="285">
      <c r="E285">
        <f>IF(D285="","",IFERROR(INDEX(Cadastro_Atletas!$C$2:$C$401,MATCH(D285,Cadastro_Atletas!$D$2:$D$401,0)),""))</f>
        <v/>
      </c>
      <c r="I285">
        <f>IF(OR(G285&gt;=2,H285&gt;=1),"Sim","Não")</f>
        <v/>
      </c>
      <c r="J285">
        <f>IF(H285&gt;=1,"Cartão vermelho",IF(G285&gt;=2,"Dois amarelos",""))</f>
        <v/>
      </c>
    </row>
    <row r="286">
      <c r="E286">
        <f>IF(D286="","",IFERROR(INDEX(Cadastro_Atletas!$C$2:$C$401,MATCH(D286,Cadastro_Atletas!$D$2:$D$401,0)),""))</f>
        <v/>
      </c>
      <c r="I286">
        <f>IF(OR(G286&gt;=2,H286&gt;=1),"Sim","Não")</f>
        <v/>
      </c>
      <c r="J286">
        <f>IF(H286&gt;=1,"Cartão vermelho",IF(G286&gt;=2,"Dois amarelos",""))</f>
        <v/>
      </c>
    </row>
    <row r="287">
      <c r="E287">
        <f>IF(D287="","",IFERROR(INDEX(Cadastro_Atletas!$C$2:$C$401,MATCH(D287,Cadastro_Atletas!$D$2:$D$401,0)),""))</f>
        <v/>
      </c>
      <c r="I287">
        <f>IF(OR(G287&gt;=2,H287&gt;=1),"Sim","Não")</f>
        <v/>
      </c>
      <c r="J287">
        <f>IF(H287&gt;=1,"Cartão vermelho",IF(G287&gt;=2,"Dois amarelos",""))</f>
        <v/>
      </c>
    </row>
    <row r="288">
      <c r="E288">
        <f>IF(D288="","",IFERROR(INDEX(Cadastro_Atletas!$C$2:$C$401,MATCH(D288,Cadastro_Atletas!$D$2:$D$401,0)),""))</f>
        <v/>
      </c>
      <c r="I288">
        <f>IF(OR(G288&gt;=2,H288&gt;=1),"Sim","Não")</f>
        <v/>
      </c>
      <c r="J288">
        <f>IF(H288&gt;=1,"Cartão vermelho",IF(G288&gt;=2,"Dois amarelos",""))</f>
        <v/>
      </c>
    </row>
    <row r="289">
      <c r="E289">
        <f>IF(D289="","",IFERROR(INDEX(Cadastro_Atletas!$C$2:$C$401,MATCH(D289,Cadastro_Atletas!$D$2:$D$401,0)),""))</f>
        <v/>
      </c>
      <c r="I289">
        <f>IF(OR(G289&gt;=2,H289&gt;=1),"Sim","Não")</f>
        <v/>
      </c>
      <c r="J289">
        <f>IF(H289&gt;=1,"Cartão vermelho",IF(G289&gt;=2,"Dois amarelos",""))</f>
        <v/>
      </c>
    </row>
    <row r="290">
      <c r="E290">
        <f>IF(D290="","",IFERROR(INDEX(Cadastro_Atletas!$C$2:$C$401,MATCH(D290,Cadastro_Atletas!$D$2:$D$401,0)),""))</f>
        <v/>
      </c>
      <c r="I290">
        <f>IF(OR(G290&gt;=2,H290&gt;=1),"Sim","Não")</f>
        <v/>
      </c>
      <c r="J290">
        <f>IF(H290&gt;=1,"Cartão vermelho",IF(G290&gt;=2,"Dois amarelos",""))</f>
        <v/>
      </c>
    </row>
    <row r="291">
      <c r="E291">
        <f>IF(D291="","",IFERROR(INDEX(Cadastro_Atletas!$C$2:$C$401,MATCH(D291,Cadastro_Atletas!$D$2:$D$401,0)),""))</f>
        <v/>
      </c>
      <c r="I291">
        <f>IF(OR(G291&gt;=2,H291&gt;=1),"Sim","Não")</f>
        <v/>
      </c>
      <c r="J291">
        <f>IF(H291&gt;=1,"Cartão vermelho",IF(G291&gt;=2,"Dois amarelos",""))</f>
        <v/>
      </c>
    </row>
    <row r="292">
      <c r="E292">
        <f>IF(D292="","",IFERROR(INDEX(Cadastro_Atletas!$C$2:$C$401,MATCH(D292,Cadastro_Atletas!$D$2:$D$401,0)),""))</f>
        <v/>
      </c>
      <c r="I292">
        <f>IF(OR(G292&gt;=2,H292&gt;=1),"Sim","Não")</f>
        <v/>
      </c>
      <c r="J292">
        <f>IF(H292&gt;=1,"Cartão vermelho",IF(G292&gt;=2,"Dois amarelos",""))</f>
        <v/>
      </c>
    </row>
    <row r="293">
      <c r="E293">
        <f>IF(D293="","",IFERROR(INDEX(Cadastro_Atletas!$C$2:$C$401,MATCH(D293,Cadastro_Atletas!$D$2:$D$401,0)),""))</f>
        <v/>
      </c>
      <c r="I293">
        <f>IF(OR(G293&gt;=2,H293&gt;=1),"Sim","Não")</f>
        <v/>
      </c>
      <c r="J293">
        <f>IF(H293&gt;=1,"Cartão vermelho",IF(G293&gt;=2,"Dois amarelos",""))</f>
        <v/>
      </c>
    </row>
    <row r="294">
      <c r="E294">
        <f>IF(D294="","",IFERROR(INDEX(Cadastro_Atletas!$C$2:$C$401,MATCH(D294,Cadastro_Atletas!$D$2:$D$401,0)),""))</f>
        <v/>
      </c>
      <c r="I294">
        <f>IF(OR(G294&gt;=2,H294&gt;=1),"Sim","Não")</f>
        <v/>
      </c>
      <c r="J294">
        <f>IF(H294&gt;=1,"Cartão vermelho",IF(G294&gt;=2,"Dois amarelos",""))</f>
        <v/>
      </c>
    </row>
    <row r="295">
      <c r="E295">
        <f>IF(D295="","",IFERROR(INDEX(Cadastro_Atletas!$C$2:$C$401,MATCH(D295,Cadastro_Atletas!$D$2:$D$401,0)),""))</f>
        <v/>
      </c>
      <c r="I295">
        <f>IF(OR(G295&gt;=2,H295&gt;=1),"Sim","Não")</f>
        <v/>
      </c>
      <c r="J295">
        <f>IF(H295&gt;=1,"Cartão vermelho",IF(G295&gt;=2,"Dois amarelos",""))</f>
        <v/>
      </c>
    </row>
    <row r="296">
      <c r="E296">
        <f>IF(D296="","",IFERROR(INDEX(Cadastro_Atletas!$C$2:$C$401,MATCH(D296,Cadastro_Atletas!$D$2:$D$401,0)),""))</f>
        <v/>
      </c>
      <c r="I296">
        <f>IF(OR(G296&gt;=2,H296&gt;=1),"Sim","Não")</f>
        <v/>
      </c>
      <c r="J296">
        <f>IF(H296&gt;=1,"Cartão vermelho",IF(G296&gt;=2,"Dois amarelos",""))</f>
        <v/>
      </c>
    </row>
    <row r="297">
      <c r="E297">
        <f>IF(D297="","",IFERROR(INDEX(Cadastro_Atletas!$C$2:$C$401,MATCH(D297,Cadastro_Atletas!$D$2:$D$401,0)),""))</f>
        <v/>
      </c>
      <c r="I297">
        <f>IF(OR(G297&gt;=2,H297&gt;=1),"Sim","Não")</f>
        <v/>
      </c>
      <c r="J297">
        <f>IF(H297&gt;=1,"Cartão vermelho",IF(G297&gt;=2,"Dois amarelos",""))</f>
        <v/>
      </c>
    </row>
    <row r="298">
      <c r="E298">
        <f>IF(D298="","",IFERROR(INDEX(Cadastro_Atletas!$C$2:$C$401,MATCH(D298,Cadastro_Atletas!$D$2:$D$401,0)),""))</f>
        <v/>
      </c>
      <c r="I298">
        <f>IF(OR(G298&gt;=2,H298&gt;=1),"Sim","Não")</f>
        <v/>
      </c>
      <c r="J298">
        <f>IF(H298&gt;=1,"Cartão vermelho",IF(G298&gt;=2,"Dois amarelos",""))</f>
        <v/>
      </c>
    </row>
    <row r="299">
      <c r="E299">
        <f>IF(D299="","",IFERROR(INDEX(Cadastro_Atletas!$C$2:$C$401,MATCH(D299,Cadastro_Atletas!$D$2:$D$401,0)),""))</f>
        <v/>
      </c>
      <c r="I299">
        <f>IF(OR(G299&gt;=2,H299&gt;=1),"Sim","Não")</f>
        <v/>
      </c>
      <c r="J299">
        <f>IF(H299&gt;=1,"Cartão vermelho",IF(G299&gt;=2,"Dois amarelos",""))</f>
        <v/>
      </c>
    </row>
    <row r="300">
      <c r="E300">
        <f>IF(D300="","",IFERROR(INDEX(Cadastro_Atletas!$C$2:$C$401,MATCH(D300,Cadastro_Atletas!$D$2:$D$401,0)),""))</f>
        <v/>
      </c>
      <c r="I300">
        <f>IF(OR(G300&gt;=2,H300&gt;=1),"Sim","Não")</f>
        <v/>
      </c>
      <c r="J300">
        <f>IF(H300&gt;=1,"Cartão vermelho",IF(G300&gt;=2,"Dois amarelos",""))</f>
        <v/>
      </c>
    </row>
    <row r="301">
      <c r="E301">
        <f>IF(D301="","",IFERROR(INDEX(Cadastro_Atletas!$C$2:$C$401,MATCH(D301,Cadastro_Atletas!$D$2:$D$401,0)),""))</f>
        <v/>
      </c>
      <c r="I301">
        <f>IF(OR(G301&gt;=2,H301&gt;=1),"Sim","Não")</f>
        <v/>
      </c>
      <c r="J301">
        <f>IF(H301&gt;=1,"Cartão vermelho",IF(G301&gt;=2,"Dois amarelos",""))</f>
        <v/>
      </c>
    </row>
  </sheetData>
  <autoFilter ref="A1:M301"/>
  <dataValidations count="1">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showDropDown="0" showInputMessage="0" showErrorMessage="0" allowBlank="1" type="list">
      <formula1>='Cadastro_Times'!$B$2:$B$21</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301"/>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 width="12" customWidth="1" min="4" max="4"/>
    <col width="24" customWidth="1" min="5" max="5"/>
    <col width="14" customWidth="1" min="6" max="6"/>
    <col width="22" customWidth="1" min="7" max="7"/>
    <col width="10" customWidth="1" min="8" max="8"/>
    <col width="10" customWidth="1" min="9" max="9"/>
    <col width="14" customWidth="1" min="10" max="10"/>
    <col width="22" customWidth="1" min="11" max="11"/>
    <col width="20" customWidth="1" min="12" max="12"/>
  </cols>
  <sheetData>
    <row r="1">
      <c r="A1" s="9" t="inlineStr">
        <is>
          <t>Partida</t>
        </is>
      </c>
      <c r="B1" s="9" t="inlineStr">
        <is>
          <t>Data</t>
        </is>
      </c>
      <c r="C1" s="9" t="inlineStr">
        <is>
          <t>Time</t>
        </is>
      </c>
      <c r="D1" s="9" t="inlineStr">
        <is>
          <t>Nº Camisa</t>
        </is>
      </c>
      <c r="E1" s="9" t="inlineStr">
        <is>
          <t>Atleta</t>
        </is>
      </c>
      <c r="F1" s="9" t="inlineStr">
        <is>
          <t>Pontos Ataque</t>
        </is>
      </c>
      <c r="G1" s="9" t="inlineStr">
        <is>
          <t>Levantamentos Eficientes</t>
        </is>
      </c>
      <c r="H1" s="9" t="inlineStr">
        <is>
          <t>Defesas</t>
        </is>
      </c>
      <c r="I1" s="9" t="inlineStr">
        <is>
          <t>Bloqueios</t>
        </is>
      </c>
      <c r="J1" s="9" t="inlineStr">
        <is>
          <t>Grupo/Etapa</t>
        </is>
      </c>
      <c r="K1" s="9" t="inlineStr">
        <is>
          <t>Adversário</t>
        </is>
      </c>
      <c r="L1" s="9" t="inlineStr">
        <is>
          <t>Observações</t>
        </is>
      </c>
    </row>
    <row r="2">
      <c r="E2">
        <f>IF(D2="","",IFERROR(INDEX(Cadastro_Atletas!$C$2:$C$401,MATCH(D2,Cadastro_Atletas!$D$2:$D$401,0)),""))</f>
        <v/>
      </c>
    </row>
    <row r="3">
      <c r="E3">
        <f>IF(D3="","",IFERROR(INDEX(Cadastro_Atletas!$C$2:$C$401,MATCH(D3,Cadastro_Atletas!$D$2:$D$401,0)),""))</f>
        <v/>
      </c>
    </row>
    <row r="4">
      <c r="E4">
        <f>IF(D4="","",IFERROR(INDEX(Cadastro_Atletas!$C$2:$C$401,MATCH(D4,Cadastro_Atletas!$D$2:$D$401,0)),""))</f>
        <v/>
      </c>
    </row>
    <row r="5">
      <c r="E5">
        <f>IF(D5="","",IFERROR(INDEX(Cadastro_Atletas!$C$2:$C$401,MATCH(D5,Cadastro_Atletas!$D$2:$D$401,0)),""))</f>
        <v/>
      </c>
    </row>
    <row r="6">
      <c r="E6">
        <f>IF(D6="","",IFERROR(INDEX(Cadastro_Atletas!$C$2:$C$401,MATCH(D6,Cadastro_Atletas!$D$2:$D$401,0)),""))</f>
        <v/>
      </c>
    </row>
    <row r="7">
      <c r="E7">
        <f>IF(D7="","",IFERROR(INDEX(Cadastro_Atletas!$C$2:$C$401,MATCH(D7,Cadastro_Atletas!$D$2:$D$401,0)),""))</f>
        <v/>
      </c>
    </row>
    <row r="8">
      <c r="E8">
        <f>IF(D8="","",IFERROR(INDEX(Cadastro_Atletas!$C$2:$C$401,MATCH(D8,Cadastro_Atletas!$D$2:$D$401,0)),""))</f>
        <v/>
      </c>
    </row>
    <row r="9">
      <c r="E9">
        <f>IF(D9="","",IFERROR(INDEX(Cadastro_Atletas!$C$2:$C$401,MATCH(D9,Cadastro_Atletas!$D$2:$D$401,0)),""))</f>
        <v/>
      </c>
    </row>
    <row r="10">
      <c r="E10">
        <f>IF(D10="","",IFERROR(INDEX(Cadastro_Atletas!$C$2:$C$401,MATCH(D10,Cadastro_Atletas!$D$2:$D$401,0)),""))</f>
        <v/>
      </c>
    </row>
    <row r="11">
      <c r="E11">
        <f>IF(D11="","",IFERROR(INDEX(Cadastro_Atletas!$C$2:$C$401,MATCH(D11,Cadastro_Atletas!$D$2:$D$401,0)),""))</f>
        <v/>
      </c>
    </row>
    <row r="12">
      <c r="E12">
        <f>IF(D12="","",IFERROR(INDEX(Cadastro_Atletas!$C$2:$C$401,MATCH(D12,Cadastro_Atletas!$D$2:$D$401,0)),""))</f>
        <v/>
      </c>
    </row>
    <row r="13">
      <c r="E13">
        <f>IF(D13="","",IFERROR(INDEX(Cadastro_Atletas!$C$2:$C$401,MATCH(D13,Cadastro_Atletas!$D$2:$D$401,0)),""))</f>
        <v/>
      </c>
    </row>
    <row r="14">
      <c r="E14">
        <f>IF(D14="","",IFERROR(INDEX(Cadastro_Atletas!$C$2:$C$401,MATCH(D14,Cadastro_Atletas!$D$2:$D$401,0)),""))</f>
        <v/>
      </c>
    </row>
    <row r="15">
      <c r="E15">
        <f>IF(D15="","",IFERROR(INDEX(Cadastro_Atletas!$C$2:$C$401,MATCH(D15,Cadastro_Atletas!$D$2:$D$401,0)),""))</f>
        <v/>
      </c>
    </row>
    <row r="16">
      <c r="E16">
        <f>IF(D16="","",IFERROR(INDEX(Cadastro_Atletas!$C$2:$C$401,MATCH(D16,Cadastro_Atletas!$D$2:$D$401,0)),""))</f>
        <v/>
      </c>
    </row>
    <row r="17">
      <c r="E17">
        <f>IF(D17="","",IFERROR(INDEX(Cadastro_Atletas!$C$2:$C$401,MATCH(D17,Cadastro_Atletas!$D$2:$D$401,0)),""))</f>
        <v/>
      </c>
    </row>
    <row r="18">
      <c r="E18">
        <f>IF(D18="","",IFERROR(INDEX(Cadastro_Atletas!$C$2:$C$401,MATCH(D18,Cadastro_Atletas!$D$2:$D$401,0)),""))</f>
        <v/>
      </c>
    </row>
    <row r="19">
      <c r="E19">
        <f>IF(D19="","",IFERROR(INDEX(Cadastro_Atletas!$C$2:$C$401,MATCH(D19,Cadastro_Atletas!$D$2:$D$401,0)),""))</f>
        <v/>
      </c>
    </row>
    <row r="20">
      <c r="E20">
        <f>IF(D20="","",IFERROR(INDEX(Cadastro_Atletas!$C$2:$C$401,MATCH(D20,Cadastro_Atletas!$D$2:$D$401,0)),""))</f>
        <v/>
      </c>
    </row>
    <row r="21">
      <c r="E21">
        <f>IF(D21="","",IFERROR(INDEX(Cadastro_Atletas!$C$2:$C$401,MATCH(D21,Cadastro_Atletas!$D$2:$D$401,0)),""))</f>
        <v/>
      </c>
    </row>
    <row r="22">
      <c r="E22">
        <f>IF(D22="","",IFERROR(INDEX(Cadastro_Atletas!$C$2:$C$401,MATCH(D22,Cadastro_Atletas!$D$2:$D$401,0)),""))</f>
        <v/>
      </c>
    </row>
    <row r="23">
      <c r="E23">
        <f>IF(D23="","",IFERROR(INDEX(Cadastro_Atletas!$C$2:$C$401,MATCH(D23,Cadastro_Atletas!$D$2:$D$401,0)),""))</f>
        <v/>
      </c>
    </row>
    <row r="24">
      <c r="E24">
        <f>IF(D24="","",IFERROR(INDEX(Cadastro_Atletas!$C$2:$C$401,MATCH(D24,Cadastro_Atletas!$D$2:$D$401,0)),""))</f>
        <v/>
      </c>
    </row>
    <row r="25">
      <c r="E25">
        <f>IF(D25="","",IFERROR(INDEX(Cadastro_Atletas!$C$2:$C$401,MATCH(D25,Cadastro_Atletas!$D$2:$D$401,0)),""))</f>
        <v/>
      </c>
    </row>
    <row r="26">
      <c r="E26">
        <f>IF(D26="","",IFERROR(INDEX(Cadastro_Atletas!$C$2:$C$401,MATCH(D26,Cadastro_Atletas!$D$2:$D$401,0)),""))</f>
        <v/>
      </c>
    </row>
    <row r="27">
      <c r="E27">
        <f>IF(D27="","",IFERROR(INDEX(Cadastro_Atletas!$C$2:$C$401,MATCH(D27,Cadastro_Atletas!$D$2:$D$401,0)),""))</f>
        <v/>
      </c>
    </row>
    <row r="28">
      <c r="E28">
        <f>IF(D28="","",IFERROR(INDEX(Cadastro_Atletas!$C$2:$C$401,MATCH(D28,Cadastro_Atletas!$D$2:$D$401,0)),""))</f>
        <v/>
      </c>
    </row>
    <row r="29">
      <c r="E29">
        <f>IF(D29="","",IFERROR(INDEX(Cadastro_Atletas!$C$2:$C$401,MATCH(D29,Cadastro_Atletas!$D$2:$D$401,0)),""))</f>
        <v/>
      </c>
    </row>
    <row r="30">
      <c r="E30">
        <f>IF(D30="","",IFERROR(INDEX(Cadastro_Atletas!$C$2:$C$401,MATCH(D30,Cadastro_Atletas!$D$2:$D$401,0)),""))</f>
        <v/>
      </c>
    </row>
    <row r="31">
      <c r="E31">
        <f>IF(D31="","",IFERROR(INDEX(Cadastro_Atletas!$C$2:$C$401,MATCH(D31,Cadastro_Atletas!$D$2:$D$401,0)),""))</f>
        <v/>
      </c>
    </row>
    <row r="32">
      <c r="E32">
        <f>IF(D32="","",IFERROR(INDEX(Cadastro_Atletas!$C$2:$C$401,MATCH(D32,Cadastro_Atletas!$D$2:$D$401,0)),""))</f>
        <v/>
      </c>
    </row>
    <row r="33">
      <c r="E33">
        <f>IF(D33="","",IFERROR(INDEX(Cadastro_Atletas!$C$2:$C$401,MATCH(D33,Cadastro_Atletas!$D$2:$D$401,0)),""))</f>
        <v/>
      </c>
    </row>
    <row r="34">
      <c r="E34">
        <f>IF(D34="","",IFERROR(INDEX(Cadastro_Atletas!$C$2:$C$401,MATCH(D34,Cadastro_Atletas!$D$2:$D$401,0)),""))</f>
        <v/>
      </c>
    </row>
    <row r="35">
      <c r="E35">
        <f>IF(D35="","",IFERROR(INDEX(Cadastro_Atletas!$C$2:$C$401,MATCH(D35,Cadastro_Atletas!$D$2:$D$401,0)),""))</f>
        <v/>
      </c>
    </row>
    <row r="36">
      <c r="E36">
        <f>IF(D36="","",IFERROR(INDEX(Cadastro_Atletas!$C$2:$C$401,MATCH(D36,Cadastro_Atletas!$D$2:$D$401,0)),""))</f>
        <v/>
      </c>
    </row>
    <row r="37">
      <c r="E37">
        <f>IF(D37="","",IFERROR(INDEX(Cadastro_Atletas!$C$2:$C$401,MATCH(D37,Cadastro_Atletas!$D$2:$D$401,0)),""))</f>
        <v/>
      </c>
    </row>
    <row r="38">
      <c r="E38">
        <f>IF(D38="","",IFERROR(INDEX(Cadastro_Atletas!$C$2:$C$401,MATCH(D38,Cadastro_Atletas!$D$2:$D$401,0)),""))</f>
        <v/>
      </c>
    </row>
    <row r="39">
      <c r="E39">
        <f>IF(D39="","",IFERROR(INDEX(Cadastro_Atletas!$C$2:$C$401,MATCH(D39,Cadastro_Atletas!$D$2:$D$401,0)),""))</f>
        <v/>
      </c>
    </row>
    <row r="40">
      <c r="E40">
        <f>IF(D40="","",IFERROR(INDEX(Cadastro_Atletas!$C$2:$C$401,MATCH(D40,Cadastro_Atletas!$D$2:$D$401,0)),""))</f>
        <v/>
      </c>
    </row>
    <row r="41">
      <c r="E41">
        <f>IF(D41="","",IFERROR(INDEX(Cadastro_Atletas!$C$2:$C$401,MATCH(D41,Cadastro_Atletas!$D$2:$D$401,0)),""))</f>
        <v/>
      </c>
    </row>
    <row r="42">
      <c r="E42">
        <f>IF(D42="","",IFERROR(INDEX(Cadastro_Atletas!$C$2:$C$401,MATCH(D42,Cadastro_Atletas!$D$2:$D$401,0)),""))</f>
        <v/>
      </c>
    </row>
    <row r="43">
      <c r="E43">
        <f>IF(D43="","",IFERROR(INDEX(Cadastro_Atletas!$C$2:$C$401,MATCH(D43,Cadastro_Atletas!$D$2:$D$401,0)),""))</f>
        <v/>
      </c>
    </row>
    <row r="44">
      <c r="E44">
        <f>IF(D44="","",IFERROR(INDEX(Cadastro_Atletas!$C$2:$C$401,MATCH(D44,Cadastro_Atletas!$D$2:$D$401,0)),""))</f>
        <v/>
      </c>
    </row>
    <row r="45">
      <c r="E45">
        <f>IF(D45="","",IFERROR(INDEX(Cadastro_Atletas!$C$2:$C$401,MATCH(D45,Cadastro_Atletas!$D$2:$D$401,0)),""))</f>
        <v/>
      </c>
    </row>
    <row r="46">
      <c r="E46">
        <f>IF(D46="","",IFERROR(INDEX(Cadastro_Atletas!$C$2:$C$401,MATCH(D46,Cadastro_Atletas!$D$2:$D$401,0)),""))</f>
        <v/>
      </c>
    </row>
    <row r="47">
      <c r="E47">
        <f>IF(D47="","",IFERROR(INDEX(Cadastro_Atletas!$C$2:$C$401,MATCH(D47,Cadastro_Atletas!$D$2:$D$401,0)),""))</f>
        <v/>
      </c>
    </row>
    <row r="48">
      <c r="E48">
        <f>IF(D48="","",IFERROR(INDEX(Cadastro_Atletas!$C$2:$C$401,MATCH(D48,Cadastro_Atletas!$D$2:$D$401,0)),""))</f>
        <v/>
      </c>
    </row>
    <row r="49">
      <c r="E49">
        <f>IF(D49="","",IFERROR(INDEX(Cadastro_Atletas!$C$2:$C$401,MATCH(D49,Cadastro_Atletas!$D$2:$D$401,0)),""))</f>
        <v/>
      </c>
    </row>
    <row r="50">
      <c r="E50">
        <f>IF(D50="","",IFERROR(INDEX(Cadastro_Atletas!$C$2:$C$401,MATCH(D50,Cadastro_Atletas!$D$2:$D$401,0)),""))</f>
        <v/>
      </c>
    </row>
    <row r="51">
      <c r="E51">
        <f>IF(D51="","",IFERROR(INDEX(Cadastro_Atletas!$C$2:$C$401,MATCH(D51,Cadastro_Atletas!$D$2:$D$401,0)),""))</f>
        <v/>
      </c>
    </row>
    <row r="52">
      <c r="E52">
        <f>IF(D52="","",IFERROR(INDEX(Cadastro_Atletas!$C$2:$C$401,MATCH(D52,Cadastro_Atletas!$D$2:$D$401,0)),""))</f>
        <v/>
      </c>
    </row>
    <row r="53">
      <c r="E53">
        <f>IF(D53="","",IFERROR(INDEX(Cadastro_Atletas!$C$2:$C$401,MATCH(D53,Cadastro_Atletas!$D$2:$D$401,0)),""))</f>
        <v/>
      </c>
    </row>
    <row r="54">
      <c r="E54">
        <f>IF(D54="","",IFERROR(INDEX(Cadastro_Atletas!$C$2:$C$401,MATCH(D54,Cadastro_Atletas!$D$2:$D$401,0)),""))</f>
        <v/>
      </c>
    </row>
    <row r="55">
      <c r="E55">
        <f>IF(D55="","",IFERROR(INDEX(Cadastro_Atletas!$C$2:$C$401,MATCH(D55,Cadastro_Atletas!$D$2:$D$401,0)),""))</f>
        <v/>
      </c>
    </row>
    <row r="56">
      <c r="E56">
        <f>IF(D56="","",IFERROR(INDEX(Cadastro_Atletas!$C$2:$C$401,MATCH(D56,Cadastro_Atletas!$D$2:$D$401,0)),""))</f>
        <v/>
      </c>
    </row>
    <row r="57">
      <c r="E57">
        <f>IF(D57="","",IFERROR(INDEX(Cadastro_Atletas!$C$2:$C$401,MATCH(D57,Cadastro_Atletas!$D$2:$D$401,0)),""))</f>
        <v/>
      </c>
    </row>
    <row r="58">
      <c r="E58">
        <f>IF(D58="","",IFERROR(INDEX(Cadastro_Atletas!$C$2:$C$401,MATCH(D58,Cadastro_Atletas!$D$2:$D$401,0)),""))</f>
        <v/>
      </c>
    </row>
    <row r="59">
      <c r="E59">
        <f>IF(D59="","",IFERROR(INDEX(Cadastro_Atletas!$C$2:$C$401,MATCH(D59,Cadastro_Atletas!$D$2:$D$401,0)),""))</f>
        <v/>
      </c>
    </row>
    <row r="60">
      <c r="E60">
        <f>IF(D60="","",IFERROR(INDEX(Cadastro_Atletas!$C$2:$C$401,MATCH(D60,Cadastro_Atletas!$D$2:$D$401,0)),""))</f>
        <v/>
      </c>
    </row>
    <row r="61">
      <c r="E61">
        <f>IF(D61="","",IFERROR(INDEX(Cadastro_Atletas!$C$2:$C$401,MATCH(D61,Cadastro_Atletas!$D$2:$D$401,0)),""))</f>
        <v/>
      </c>
    </row>
    <row r="62">
      <c r="E62">
        <f>IF(D62="","",IFERROR(INDEX(Cadastro_Atletas!$C$2:$C$401,MATCH(D62,Cadastro_Atletas!$D$2:$D$401,0)),""))</f>
        <v/>
      </c>
    </row>
    <row r="63">
      <c r="E63">
        <f>IF(D63="","",IFERROR(INDEX(Cadastro_Atletas!$C$2:$C$401,MATCH(D63,Cadastro_Atletas!$D$2:$D$401,0)),""))</f>
        <v/>
      </c>
    </row>
    <row r="64">
      <c r="E64">
        <f>IF(D64="","",IFERROR(INDEX(Cadastro_Atletas!$C$2:$C$401,MATCH(D64,Cadastro_Atletas!$D$2:$D$401,0)),""))</f>
        <v/>
      </c>
    </row>
    <row r="65">
      <c r="E65">
        <f>IF(D65="","",IFERROR(INDEX(Cadastro_Atletas!$C$2:$C$401,MATCH(D65,Cadastro_Atletas!$D$2:$D$401,0)),""))</f>
        <v/>
      </c>
    </row>
    <row r="66">
      <c r="E66">
        <f>IF(D66="","",IFERROR(INDEX(Cadastro_Atletas!$C$2:$C$401,MATCH(D66,Cadastro_Atletas!$D$2:$D$401,0)),""))</f>
        <v/>
      </c>
    </row>
    <row r="67">
      <c r="E67">
        <f>IF(D67="","",IFERROR(INDEX(Cadastro_Atletas!$C$2:$C$401,MATCH(D67,Cadastro_Atletas!$D$2:$D$401,0)),""))</f>
        <v/>
      </c>
    </row>
    <row r="68">
      <c r="E68">
        <f>IF(D68="","",IFERROR(INDEX(Cadastro_Atletas!$C$2:$C$401,MATCH(D68,Cadastro_Atletas!$D$2:$D$401,0)),""))</f>
        <v/>
      </c>
    </row>
    <row r="69">
      <c r="E69">
        <f>IF(D69="","",IFERROR(INDEX(Cadastro_Atletas!$C$2:$C$401,MATCH(D69,Cadastro_Atletas!$D$2:$D$401,0)),""))</f>
        <v/>
      </c>
    </row>
    <row r="70">
      <c r="E70">
        <f>IF(D70="","",IFERROR(INDEX(Cadastro_Atletas!$C$2:$C$401,MATCH(D70,Cadastro_Atletas!$D$2:$D$401,0)),""))</f>
        <v/>
      </c>
    </row>
    <row r="71">
      <c r="E71">
        <f>IF(D71="","",IFERROR(INDEX(Cadastro_Atletas!$C$2:$C$401,MATCH(D71,Cadastro_Atletas!$D$2:$D$401,0)),""))</f>
        <v/>
      </c>
    </row>
    <row r="72">
      <c r="E72">
        <f>IF(D72="","",IFERROR(INDEX(Cadastro_Atletas!$C$2:$C$401,MATCH(D72,Cadastro_Atletas!$D$2:$D$401,0)),""))</f>
        <v/>
      </c>
    </row>
    <row r="73">
      <c r="E73">
        <f>IF(D73="","",IFERROR(INDEX(Cadastro_Atletas!$C$2:$C$401,MATCH(D73,Cadastro_Atletas!$D$2:$D$401,0)),""))</f>
        <v/>
      </c>
    </row>
    <row r="74">
      <c r="E74">
        <f>IF(D74="","",IFERROR(INDEX(Cadastro_Atletas!$C$2:$C$401,MATCH(D74,Cadastro_Atletas!$D$2:$D$401,0)),""))</f>
        <v/>
      </c>
    </row>
    <row r="75">
      <c r="E75">
        <f>IF(D75="","",IFERROR(INDEX(Cadastro_Atletas!$C$2:$C$401,MATCH(D75,Cadastro_Atletas!$D$2:$D$401,0)),""))</f>
        <v/>
      </c>
    </row>
    <row r="76">
      <c r="E76">
        <f>IF(D76="","",IFERROR(INDEX(Cadastro_Atletas!$C$2:$C$401,MATCH(D76,Cadastro_Atletas!$D$2:$D$401,0)),""))</f>
        <v/>
      </c>
    </row>
    <row r="77">
      <c r="E77">
        <f>IF(D77="","",IFERROR(INDEX(Cadastro_Atletas!$C$2:$C$401,MATCH(D77,Cadastro_Atletas!$D$2:$D$401,0)),""))</f>
        <v/>
      </c>
    </row>
    <row r="78">
      <c r="E78">
        <f>IF(D78="","",IFERROR(INDEX(Cadastro_Atletas!$C$2:$C$401,MATCH(D78,Cadastro_Atletas!$D$2:$D$401,0)),""))</f>
        <v/>
      </c>
    </row>
    <row r="79">
      <c r="E79">
        <f>IF(D79="","",IFERROR(INDEX(Cadastro_Atletas!$C$2:$C$401,MATCH(D79,Cadastro_Atletas!$D$2:$D$401,0)),""))</f>
        <v/>
      </c>
    </row>
    <row r="80">
      <c r="E80">
        <f>IF(D80="","",IFERROR(INDEX(Cadastro_Atletas!$C$2:$C$401,MATCH(D80,Cadastro_Atletas!$D$2:$D$401,0)),""))</f>
        <v/>
      </c>
    </row>
    <row r="81">
      <c r="E81">
        <f>IF(D81="","",IFERROR(INDEX(Cadastro_Atletas!$C$2:$C$401,MATCH(D81,Cadastro_Atletas!$D$2:$D$401,0)),""))</f>
        <v/>
      </c>
    </row>
    <row r="82">
      <c r="E82">
        <f>IF(D82="","",IFERROR(INDEX(Cadastro_Atletas!$C$2:$C$401,MATCH(D82,Cadastro_Atletas!$D$2:$D$401,0)),""))</f>
        <v/>
      </c>
    </row>
    <row r="83">
      <c r="E83">
        <f>IF(D83="","",IFERROR(INDEX(Cadastro_Atletas!$C$2:$C$401,MATCH(D83,Cadastro_Atletas!$D$2:$D$401,0)),""))</f>
        <v/>
      </c>
    </row>
    <row r="84">
      <c r="E84">
        <f>IF(D84="","",IFERROR(INDEX(Cadastro_Atletas!$C$2:$C$401,MATCH(D84,Cadastro_Atletas!$D$2:$D$401,0)),""))</f>
        <v/>
      </c>
    </row>
    <row r="85">
      <c r="E85">
        <f>IF(D85="","",IFERROR(INDEX(Cadastro_Atletas!$C$2:$C$401,MATCH(D85,Cadastro_Atletas!$D$2:$D$401,0)),""))</f>
        <v/>
      </c>
    </row>
    <row r="86">
      <c r="E86">
        <f>IF(D86="","",IFERROR(INDEX(Cadastro_Atletas!$C$2:$C$401,MATCH(D86,Cadastro_Atletas!$D$2:$D$401,0)),""))</f>
        <v/>
      </c>
    </row>
    <row r="87">
      <c r="E87">
        <f>IF(D87="","",IFERROR(INDEX(Cadastro_Atletas!$C$2:$C$401,MATCH(D87,Cadastro_Atletas!$D$2:$D$401,0)),""))</f>
        <v/>
      </c>
    </row>
    <row r="88">
      <c r="E88">
        <f>IF(D88="","",IFERROR(INDEX(Cadastro_Atletas!$C$2:$C$401,MATCH(D88,Cadastro_Atletas!$D$2:$D$401,0)),""))</f>
        <v/>
      </c>
    </row>
    <row r="89">
      <c r="E89">
        <f>IF(D89="","",IFERROR(INDEX(Cadastro_Atletas!$C$2:$C$401,MATCH(D89,Cadastro_Atletas!$D$2:$D$401,0)),""))</f>
        <v/>
      </c>
    </row>
    <row r="90">
      <c r="E90">
        <f>IF(D90="","",IFERROR(INDEX(Cadastro_Atletas!$C$2:$C$401,MATCH(D90,Cadastro_Atletas!$D$2:$D$401,0)),""))</f>
        <v/>
      </c>
    </row>
    <row r="91">
      <c r="E91">
        <f>IF(D91="","",IFERROR(INDEX(Cadastro_Atletas!$C$2:$C$401,MATCH(D91,Cadastro_Atletas!$D$2:$D$401,0)),""))</f>
        <v/>
      </c>
    </row>
    <row r="92">
      <c r="E92">
        <f>IF(D92="","",IFERROR(INDEX(Cadastro_Atletas!$C$2:$C$401,MATCH(D92,Cadastro_Atletas!$D$2:$D$401,0)),""))</f>
        <v/>
      </c>
    </row>
    <row r="93">
      <c r="E93">
        <f>IF(D93="","",IFERROR(INDEX(Cadastro_Atletas!$C$2:$C$401,MATCH(D93,Cadastro_Atletas!$D$2:$D$401,0)),""))</f>
        <v/>
      </c>
    </row>
    <row r="94">
      <c r="E94">
        <f>IF(D94="","",IFERROR(INDEX(Cadastro_Atletas!$C$2:$C$401,MATCH(D94,Cadastro_Atletas!$D$2:$D$401,0)),""))</f>
        <v/>
      </c>
    </row>
    <row r="95">
      <c r="E95">
        <f>IF(D95="","",IFERROR(INDEX(Cadastro_Atletas!$C$2:$C$401,MATCH(D95,Cadastro_Atletas!$D$2:$D$401,0)),""))</f>
        <v/>
      </c>
    </row>
    <row r="96">
      <c r="E96">
        <f>IF(D96="","",IFERROR(INDEX(Cadastro_Atletas!$C$2:$C$401,MATCH(D96,Cadastro_Atletas!$D$2:$D$401,0)),""))</f>
        <v/>
      </c>
    </row>
    <row r="97">
      <c r="E97">
        <f>IF(D97="","",IFERROR(INDEX(Cadastro_Atletas!$C$2:$C$401,MATCH(D97,Cadastro_Atletas!$D$2:$D$401,0)),""))</f>
        <v/>
      </c>
    </row>
    <row r="98">
      <c r="E98">
        <f>IF(D98="","",IFERROR(INDEX(Cadastro_Atletas!$C$2:$C$401,MATCH(D98,Cadastro_Atletas!$D$2:$D$401,0)),""))</f>
        <v/>
      </c>
    </row>
    <row r="99">
      <c r="E99">
        <f>IF(D99="","",IFERROR(INDEX(Cadastro_Atletas!$C$2:$C$401,MATCH(D99,Cadastro_Atletas!$D$2:$D$401,0)),""))</f>
        <v/>
      </c>
    </row>
    <row r="100">
      <c r="E100">
        <f>IF(D100="","",IFERROR(INDEX(Cadastro_Atletas!$C$2:$C$401,MATCH(D100,Cadastro_Atletas!$D$2:$D$401,0)),""))</f>
        <v/>
      </c>
    </row>
    <row r="101">
      <c r="E101">
        <f>IF(D101="","",IFERROR(INDEX(Cadastro_Atletas!$C$2:$C$401,MATCH(D101,Cadastro_Atletas!$D$2:$D$401,0)),""))</f>
        <v/>
      </c>
    </row>
    <row r="102">
      <c r="E102">
        <f>IF(D102="","",IFERROR(INDEX(Cadastro_Atletas!$C$2:$C$401,MATCH(D102,Cadastro_Atletas!$D$2:$D$401,0)),""))</f>
        <v/>
      </c>
    </row>
    <row r="103">
      <c r="E103">
        <f>IF(D103="","",IFERROR(INDEX(Cadastro_Atletas!$C$2:$C$401,MATCH(D103,Cadastro_Atletas!$D$2:$D$401,0)),""))</f>
        <v/>
      </c>
    </row>
    <row r="104">
      <c r="E104">
        <f>IF(D104="","",IFERROR(INDEX(Cadastro_Atletas!$C$2:$C$401,MATCH(D104,Cadastro_Atletas!$D$2:$D$401,0)),""))</f>
        <v/>
      </c>
    </row>
    <row r="105">
      <c r="E105">
        <f>IF(D105="","",IFERROR(INDEX(Cadastro_Atletas!$C$2:$C$401,MATCH(D105,Cadastro_Atletas!$D$2:$D$401,0)),""))</f>
        <v/>
      </c>
    </row>
    <row r="106">
      <c r="E106">
        <f>IF(D106="","",IFERROR(INDEX(Cadastro_Atletas!$C$2:$C$401,MATCH(D106,Cadastro_Atletas!$D$2:$D$401,0)),""))</f>
        <v/>
      </c>
    </row>
    <row r="107">
      <c r="E107">
        <f>IF(D107="","",IFERROR(INDEX(Cadastro_Atletas!$C$2:$C$401,MATCH(D107,Cadastro_Atletas!$D$2:$D$401,0)),""))</f>
        <v/>
      </c>
    </row>
    <row r="108">
      <c r="E108">
        <f>IF(D108="","",IFERROR(INDEX(Cadastro_Atletas!$C$2:$C$401,MATCH(D108,Cadastro_Atletas!$D$2:$D$401,0)),""))</f>
        <v/>
      </c>
    </row>
    <row r="109">
      <c r="E109">
        <f>IF(D109="","",IFERROR(INDEX(Cadastro_Atletas!$C$2:$C$401,MATCH(D109,Cadastro_Atletas!$D$2:$D$401,0)),""))</f>
        <v/>
      </c>
    </row>
    <row r="110">
      <c r="E110">
        <f>IF(D110="","",IFERROR(INDEX(Cadastro_Atletas!$C$2:$C$401,MATCH(D110,Cadastro_Atletas!$D$2:$D$401,0)),""))</f>
        <v/>
      </c>
    </row>
    <row r="111">
      <c r="E111">
        <f>IF(D111="","",IFERROR(INDEX(Cadastro_Atletas!$C$2:$C$401,MATCH(D111,Cadastro_Atletas!$D$2:$D$401,0)),""))</f>
        <v/>
      </c>
    </row>
    <row r="112">
      <c r="E112">
        <f>IF(D112="","",IFERROR(INDEX(Cadastro_Atletas!$C$2:$C$401,MATCH(D112,Cadastro_Atletas!$D$2:$D$401,0)),""))</f>
        <v/>
      </c>
    </row>
    <row r="113">
      <c r="E113">
        <f>IF(D113="","",IFERROR(INDEX(Cadastro_Atletas!$C$2:$C$401,MATCH(D113,Cadastro_Atletas!$D$2:$D$401,0)),""))</f>
        <v/>
      </c>
    </row>
    <row r="114">
      <c r="E114">
        <f>IF(D114="","",IFERROR(INDEX(Cadastro_Atletas!$C$2:$C$401,MATCH(D114,Cadastro_Atletas!$D$2:$D$401,0)),""))</f>
        <v/>
      </c>
    </row>
    <row r="115">
      <c r="E115">
        <f>IF(D115="","",IFERROR(INDEX(Cadastro_Atletas!$C$2:$C$401,MATCH(D115,Cadastro_Atletas!$D$2:$D$401,0)),""))</f>
        <v/>
      </c>
    </row>
    <row r="116">
      <c r="E116">
        <f>IF(D116="","",IFERROR(INDEX(Cadastro_Atletas!$C$2:$C$401,MATCH(D116,Cadastro_Atletas!$D$2:$D$401,0)),""))</f>
        <v/>
      </c>
    </row>
    <row r="117">
      <c r="E117">
        <f>IF(D117="","",IFERROR(INDEX(Cadastro_Atletas!$C$2:$C$401,MATCH(D117,Cadastro_Atletas!$D$2:$D$401,0)),""))</f>
        <v/>
      </c>
    </row>
    <row r="118">
      <c r="E118">
        <f>IF(D118="","",IFERROR(INDEX(Cadastro_Atletas!$C$2:$C$401,MATCH(D118,Cadastro_Atletas!$D$2:$D$401,0)),""))</f>
        <v/>
      </c>
    </row>
    <row r="119">
      <c r="E119">
        <f>IF(D119="","",IFERROR(INDEX(Cadastro_Atletas!$C$2:$C$401,MATCH(D119,Cadastro_Atletas!$D$2:$D$401,0)),""))</f>
        <v/>
      </c>
    </row>
    <row r="120">
      <c r="E120">
        <f>IF(D120="","",IFERROR(INDEX(Cadastro_Atletas!$C$2:$C$401,MATCH(D120,Cadastro_Atletas!$D$2:$D$401,0)),""))</f>
        <v/>
      </c>
    </row>
    <row r="121">
      <c r="E121">
        <f>IF(D121="","",IFERROR(INDEX(Cadastro_Atletas!$C$2:$C$401,MATCH(D121,Cadastro_Atletas!$D$2:$D$401,0)),""))</f>
        <v/>
      </c>
    </row>
    <row r="122">
      <c r="E122">
        <f>IF(D122="","",IFERROR(INDEX(Cadastro_Atletas!$C$2:$C$401,MATCH(D122,Cadastro_Atletas!$D$2:$D$401,0)),""))</f>
        <v/>
      </c>
    </row>
    <row r="123">
      <c r="E123">
        <f>IF(D123="","",IFERROR(INDEX(Cadastro_Atletas!$C$2:$C$401,MATCH(D123,Cadastro_Atletas!$D$2:$D$401,0)),""))</f>
        <v/>
      </c>
    </row>
    <row r="124">
      <c r="E124">
        <f>IF(D124="","",IFERROR(INDEX(Cadastro_Atletas!$C$2:$C$401,MATCH(D124,Cadastro_Atletas!$D$2:$D$401,0)),""))</f>
        <v/>
      </c>
    </row>
    <row r="125">
      <c r="E125">
        <f>IF(D125="","",IFERROR(INDEX(Cadastro_Atletas!$C$2:$C$401,MATCH(D125,Cadastro_Atletas!$D$2:$D$401,0)),""))</f>
        <v/>
      </c>
    </row>
    <row r="126">
      <c r="E126">
        <f>IF(D126="","",IFERROR(INDEX(Cadastro_Atletas!$C$2:$C$401,MATCH(D126,Cadastro_Atletas!$D$2:$D$401,0)),""))</f>
        <v/>
      </c>
    </row>
    <row r="127">
      <c r="E127">
        <f>IF(D127="","",IFERROR(INDEX(Cadastro_Atletas!$C$2:$C$401,MATCH(D127,Cadastro_Atletas!$D$2:$D$401,0)),""))</f>
        <v/>
      </c>
    </row>
    <row r="128">
      <c r="E128">
        <f>IF(D128="","",IFERROR(INDEX(Cadastro_Atletas!$C$2:$C$401,MATCH(D128,Cadastro_Atletas!$D$2:$D$401,0)),""))</f>
        <v/>
      </c>
    </row>
    <row r="129">
      <c r="E129">
        <f>IF(D129="","",IFERROR(INDEX(Cadastro_Atletas!$C$2:$C$401,MATCH(D129,Cadastro_Atletas!$D$2:$D$401,0)),""))</f>
        <v/>
      </c>
    </row>
    <row r="130">
      <c r="E130">
        <f>IF(D130="","",IFERROR(INDEX(Cadastro_Atletas!$C$2:$C$401,MATCH(D130,Cadastro_Atletas!$D$2:$D$401,0)),""))</f>
        <v/>
      </c>
    </row>
    <row r="131">
      <c r="E131">
        <f>IF(D131="","",IFERROR(INDEX(Cadastro_Atletas!$C$2:$C$401,MATCH(D131,Cadastro_Atletas!$D$2:$D$401,0)),""))</f>
        <v/>
      </c>
    </row>
    <row r="132">
      <c r="E132">
        <f>IF(D132="","",IFERROR(INDEX(Cadastro_Atletas!$C$2:$C$401,MATCH(D132,Cadastro_Atletas!$D$2:$D$401,0)),""))</f>
        <v/>
      </c>
    </row>
    <row r="133">
      <c r="E133">
        <f>IF(D133="","",IFERROR(INDEX(Cadastro_Atletas!$C$2:$C$401,MATCH(D133,Cadastro_Atletas!$D$2:$D$401,0)),""))</f>
        <v/>
      </c>
    </row>
    <row r="134">
      <c r="E134">
        <f>IF(D134="","",IFERROR(INDEX(Cadastro_Atletas!$C$2:$C$401,MATCH(D134,Cadastro_Atletas!$D$2:$D$401,0)),""))</f>
        <v/>
      </c>
    </row>
    <row r="135">
      <c r="E135">
        <f>IF(D135="","",IFERROR(INDEX(Cadastro_Atletas!$C$2:$C$401,MATCH(D135,Cadastro_Atletas!$D$2:$D$401,0)),""))</f>
        <v/>
      </c>
    </row>
    <row r="136">
      <c r="E136">
        <f>IF(D136="","",IFERROR(INDEX(Cadastro_Atletas!$C$2:$C$401,MATCH(D136,Cadastro_Atletas!$D$2:$D$401,0)),""))</f>
        <v/>
      </c>
    </row>
    <row r="137">
      <c r="E137">
        <f>IF(D137="","",IFERROR(INDEX(Cadastro_Atletas!$C$2:$C$401,MATCH(D137,Cadastro_Atletas!$D$2:$D$401,0)),""))</f>
        <v/>
      </c>
    </row>
    <row r="138">
      <c r="E138">
        <f>IF(D138="","",IFERROR(INDEX(Cadastro_Atletas!$C$2:$C$401,MATCH(D138,Cadastro_Atletas!$D$2:$D$401,0)),""))</f>
        <v/>
      </c>
    </row>
    <row r="139">
      <c r="E139">
        <f>IF(D139="","",IFERROR(INDEX(Cadastro_Atletas!$C$2:$C$401,MATCH(D139,Cadastro_Atletas!$D$2:$D$401,0)),""))</f>
        <v/>
      </c>
    </row>
    <row r="140">
      <c r="E140">
        <f>IF(D140="","",IFERROR(INDEX(Cadastro_Atletas!$C$2:$C$401,MATCH(D140,Cadastro_Atletas!$D$2:$D$401,0)),""))</f>
        <v/>
      </c>
    </row>
    <row r="141">
      <c r="E141">
        <f>IF(D141="","",IFERROR(INDEX(Cadastro_Atletas!$C$2:$C$401,MATCH(D141,Cadastro_Atletas!$D$2:$D$401,0)),""))</f>
        <v/>
      </c>
    </row>
    <row r="142">
      <c r="E142">
        <f>IF(D142="","",IFERROR(INDEX(Cadastro_Atletas!$C$2:$C$401,MATCH(D142,Cadastro_Atletas!$D$2:$D$401,0)),""))</f>
        <v/>
      </c>
    </row>
    <row r="143">
      <c r="E143">
        <f>IF(D143="","",IFERROR(INDEX(Cadastro_Atletas!$C$2:$C$401,MATCH(D143,Cadastro_Atletas!$D$2:$D$401,0)),""))</f>
        <v/>
      </c>
    </row>
    <row r="144">
      <c r="E144">
        <f>IF(D144="","",IFERROR(INDEX(Cadastro_Atletas!$C$2:$C$401,MATCH(D144,Cadastro_Atletas!$D$2:$D$401,0)),""))</f>
        <v/>
      </c>
    </row>
    <row r="145">
      <c r="E145">
        <f>IF(D145="","",IFERROR(INDEX(Cadastro_Atletas!$C$2:$C$401,MATCH(D145,Cadastro_Atletas!$D$2:$D$401,0)),""))</f>
        <v/>
      </c>
    </row>
    <row r="146">
      <c r="E146">
        <f>IF(D146="","",IFERROR(INDEX(Cadastro_Atletas!$C$2:$C$401,MATCH(D146,Cadastro_Atletas!$D$2:$D$401,0)),""))</f>
        <v/>
      </c>
    </row>
    <row r="147">
      <c r="E147">
        <f>IF(D147="","",IFERROR(INDEX(Cadastro_Atletas!$C$2:$C$401,MATCH(D147,Cadastro_Atletas!$D$2:$D$401,0)),""))</f>
        <v/>
      </c>
    </row>
    <row r="148">
      <c r="E148">
        <f>IF(D148="","",IFERROR(INDEX(Cadastro_Atletas!$C$2:$C$401,MATCH(D148,Cadastro_Atletas!$D$2:$D$401,0)),""))</f>
        <v/>
      </c>
    </row>
    <row r="149">
      <c r="E149">
        <f>IF(D149="","",IFERROR(INDEX(Cadastro_Atletas!$C$2:$C$401,MATCH(D149,Cadastro_Atletas!$D$2:$D$401,0)),""))</f>
        <v/>
      </c>
    </row>
    <row r="150">
      <c r="E150">
        <f>IF(D150="","",IFERROR(INDEX(Cadastro_Atletas!$C$2:$C$401,MATCH(D150,Cadastro_Atletas!$D$2:$D$401,0)),""))</f>
        <v/>
      </c>
    </row>
    <row r="151">
      <c r="E151">
        <f>IF(D151="","",IFERROR(INDEX(Cadastro_Atletas!$C$2:$C$401,MATCH(D151,Cadastro_Atletas!$D$2:$D$401,0)),""))</f>
        <v/>
      </c>
    </row>
    <row r="152">
      <c r="E152">
        <f>IF(D152="","",IFERROR(INDEX(Cadastro_Atletas!$C$2:$C$401,MATCH(D152,Cadastro_Atletas!$D$2:$D$401,0)),""))</f>
        <v/>
      </c>
    </row>
    <row r="153">
      <c r="E153">
        <f>IF(D153="","",IFERROR(INDEX(Cadastro_Atletas!$C$2:$C$401,MATCH(D153,Cadastro_Atletas!$D$2:$D$401,0)),""))</f>
        <v/>
      </c>
    </row>
    <row r="154">
      <c r="E154">
        <f>IF(D154="","",IFERROR(INDEX(Cadastro_Atletas!$C$2:$C$401,MATCH(D154,Cadastro_Atletas!$D$2:$D$401,0)),""))</f>
        <v/>
      </c>
    </row>
    <row r="155">
      <c r="E155">
        <f>IF(D155="","",IFERROR(INDEX(Cadastro_Atletas!$C$2:$C$401,MATCH(D155,Cadastro_Atletas!$D$2:$D$401,0)),""))</f>
        <v/>
      </c>
    </row>
    <row r="156">
      <c r="E156">
        <f>IF(D156="","",IFERROR(INDEX(Cadastro_Atletas!$C$2:$C$401,MATCH(D156,Cadastro_Atletas!$D$2:$D$401,0)),""))</f>
        <v/>
      </c>
    </row>
    <row r="157">
      <c r="E157">
        <f>IF(D157="","",IFERROR(INDEX(Cadastro_Atletas!$C$2:$C$401,MATCH(D157,Cadastro_Atletas!$D$2:$D$401,0)),""))</f>
        <v/>
      </c>
    </row>
    <row r="158">
      <c r="E158">
        <f>IF(D158="","",IFERROR(INDEX(Cadastro_Atletas!$C$2:$C$401,MATCH(D158,Cadastro_Atletas!$D$2:$D$401,0)),""))</f>
        <v/>
      </c>
    </row>
    <row r="159">
      <c r="E159">
        <f>IF(D159="","",IFERROR(INDEX(Cadastro_Atletas!$C$2:$C$401,MATCH(D159,Cadastro_Atletas!$D$2:$D$401,0)),""))</f>
        <v/>
      </c>
    </row>
    <row r="160">
      <c r="E160">
        <f>IF(D160="","",IFERROR(INDEX(Cadastro_Atletas!$C$2:$C$401,MATCH(D160,Cadastro_Atletas!$D$2:$D$401,0)),""))</f>
        <v/>
      </c>
    </row>
    <row r="161">
      <c r="E161">
        <f>IF(D161="","",IFERROR(INDEX(Cadastro_Atletas!$C$2:$C$401,MATCH(D161,Cadastro_Atletas!$D$2:$D$401,0)),""))</f>
        <v/>
      </c>
    </row>
    <row r="162">
      <c r="E162">
        <f>IF(D162="","",IFERROR(INDEX(Cadastro_Atletas!$C$2:$C$401,MATCH(D162,Cadastro_Atletas!$D$2:$D$401,0)),""))</f>
        <v/>
      </c>
    </row>
    <row r="163">
      <c r="E163">
        <f>IF(D163="","",IFERROR(INDEX(Cadastro_Atletas!$C$2:$C$401,MATCH(D163,Cadastro_Atletas!$D$2:$D$401,0)),""))</f>
        <v/>
      </c>
    </row>
    <row r="164">
      <c r="E164">
        <f>IF(D164="","",IFERROR(INDEX(Cadastro_Atletas!$C$2:$C$401,MATCH(D164,Cadastro_Atletas!$D$2:$D$401,0)),""))</f>
        <v/>
      </c>
    </row>
    <row r="165">
      <c r="E165">
        <f>IF(D165="","",IFERROR(INDEX(Cadastro_Atletas!$C$2:$C$401,MATCH(D165,Cadastro_Atletas!$D$2:$D$401,0)),""))</f>
        <v/>
      </c>
    </row>
    <row r="166">
      <c r="E166">
        <f>IF(D166="","",IFERROR(INDEX(Cadastro_Atletas!$C$2:$C$401,MATCH(D166,Cadastro_Atletas!$D$2:$D$401,0)),""))</f>
        <v/>
      </c>
    </row>
    <row r="167">
      <c r="E167">
        <f>IF(D167="","",IFERROR(INDEX(Cadastro_Atletas!$C$2:$C$401,MATCH(D167,Cadastro_Atletas!$D$2:$D$401,0)),""))</f>
        <v/>
      </c>
    </row>
    <row r="168">
      <c r="E168">
        <f>IF(D168="","",IFERROR(INDEX(Cadastro_Atletas!$C$2:$C$401,MATCH(D168,Cadastro_Atletas!$D$2:$D$401,0)),""))</f>
        <v/>
      </c>
    </row>
    <row r="169">
      <c r="E169">
        <f>IF(D169="","",IFERROR(INDEX(Cadastro_Atletas!$C$2:$C$401,MATCH(D169,Cadastro_Atletas!$D$2:$D$401,0)),""))</f>
        <v/>
      </c>
    </row>
    <row r="170">
      <c r="E170">
        <f>IF(D170="","",IFERROR(INDEX(Cadastro_Atletas!$C$2:$C$401,MATCH(D170,Cadastro_Atletas!$D$2:$D$401,0)),""))</f>
        <v/>
      </c>
    </row>
    <row r="171">
      <c r="E171">
        <f>IF(D171="","",IFERROR(INDEX(Cadastro_Atletas!$C$2:$C$401,MATCH(D171,Cadastro_Atletas!$D$2:$D$401,0)),""))</f>
        <v/>
      </c>
    </row>
    <row r="172">
      <c r="E172">
        <f>IF(D172="","",IFERROR(INDEX(Cadastro_Atletas!$C$2:$C$401,MATCH(D172,Cadastro_Atletas!$D$2:$D$401,0)),""))</f>
        <v/>
      </c>
    </row>
    <row r="173">
      <c r="E173">
        <f>IF(D173="","",IFERROR(INDEX(Cadastro_Atletas!$C$2:$C$401,MATCH(D173,Cadastro_Atletas!$D$2:$D$401,0)),""))</f>
        <v/>
      </c>
    </row>
    <row r="174">
      <c r="E174">
        <f>IF(D174="","",IFERROR(INDEX(Cadastro_Atletas!$C$2:$C$401,MATCH(D174,Cadastro_Atletas!$D$2:$D$401,0)),""))</f>
        <v/>
      </c>
    </row>
    <row r="175">
      <c r="E175">
        <f>IF(D175="","",IFERROR(INDEX(Cadastro_Atletas!$C$2:$C$401,MATCH(D175,Cadastro_Atletas!$D$2:$D$401,0)),""))</f>
        <v/>
      </c>
    </row>
    <row r="176">
      <c r="E176">
        <f>IF(D176="","",IFERROR(INDEX(Cadastro_Atletas!$C$2:$C$401,MATCH(D176,Cadastro_Atletas!$D$2:$D$401,0)),""))</f>
        <v/>
      </c>
    </row>
    <row r="177">
      <c r="E177">
        <f>IF(D177="","",IFERROR(INDEX(Cadastro_Atletas!$C$2:$C$401,MATCH(D177,Cadastro_Atletas!$D$2:$D$401,0)),""))</f>
        <v/>
      </c>
    </row>
    <row r="178">
      <c r="E178">
        <f>IF(D178="","",IFERROR(INDEX(Cadastro_Atletas!$C$2:$C$401,MATCH(D178,Cadastro_Atletas!$D$2:$D$401,0)),""))</f>
        <v/>
      </c>
    </row>
    <row r="179">
      <c r="E179">
        <f>IF(D179="","",IFERROR(INDEX(Cadastro_Atletas!$C$2:$C$401,MATCH(D179,Cadastro_Atletas!$D$2:$D$401,0)),""))</f>
        <v/>
      </c>
    </row>
    <row r="180">
      <c r="E180">
        <f>IF(D180="","",IFERROR(INDEX(Cadastro_Atletas!$C$2:$C$401,MATCH(D180,Cadastro_Atletas!$D$2:$D$401,0)),""))</f>
        <v/>
      </c>
    </row>
    <row r="181">
      <c r="E181">
        <f>IF(D181="","",IFERROR(INDEX(Cadastro_Atletas!$C$2:$C$401,MATCH(D181,Cadastro_Atletas!$D$2:$D$401,0)),""))</f>
        <v/>
      </c>
    </row>
    <row r="182">
      <c r="E182">
        <f>IF(D182="","",IFERROR(INDEX(Cadastro_Atletas!$C$2:$C$401,MATCH(D182,Cadastro_Atletas!$D$2:$D$401,0)),""))</f>
        <v/>
      </c>
    </row>
    <row r="183">
      <c r="E183">
        <f>IF(D183="","",IFERROR(INDEX(Cadastro_Atletas!$C$2:$C$401,MATCH(D183,Cadastro_Atletas!$D$2:$D$401,0)),""))</f>
        <v/>
      </c>
    </row>
    <row r="184">
      <c r="E184">
        <f>IF(D184="","",IFERROR(INDEX(Cadastro_Atletas!$C$2:$C$401,MATCH(D184,Cadastro_Atletas!$D$2:$D$401,0)),""))</f>
        <v/>
      </c>
    </row>
    <row r="185">
      <c r="E185">
        <f>IF(D185="","",IFERROR(INDEX(Cadastro_Atletas!$C$2:$C$401,MATCH(D185,Cadastro_Atletas!$D$2:$D$401,0)),""))</f>
        <v/>
      </c>
    </row>
    <row r="186">
      <c r="E186">
        <f>IF(D186="","",IFERROR(INDEX(Cadastro_Atletas!$C$2:$C$401,MATCH(D186,Cadastro_Atletas!$D$2:$D$401,0)),""))</f>
        <v/>
      </c>
    </row>
    <row r="187">
      <c r="E187">
        <f>IF(D187="","",IFERROR(INDEX(Cadastro_Atletas!$C$2:$C$401,MATCH(D187,Cadastro_Atletas!$D$2:$D$401,0)),""))</f>
        <v/>
      </c>
    </row>
    <row r="188">
      <c r="E188">
        <f>IF(D188="","",IFERROR(INDEX(Cadastro_Atletas!$C$2:$C$401,MATCH(D188,Cadastro_Atletas!$D$2:$D$401,0)),""))</f>
        <v/>
      </c>
    </row>
    <row r="189">
      <c r="E189">
        <f>IF(D189="","",IFERROR(INDEX(Cadastro_Atletas!$C$2:$C$401,MATCH(D189,Cadastro_Atletas!$D$2:$D$401,0)),""))</f>
        <v/>
      </c>
    </row>
    <row r="190">
      <c r="E190">
        <f>IF(D190="","",IFERROR(INDEX(Cadastro_Atletas!$C$2:$C$401,MATCH(D190,Cadastro_Atletas!$D$2:$D$401,0)),""))</f>
        <v/>
      </c>
    </row>
    <row r="191">
      <c r="E191">
        <f>IF(D191="","",IFERROR(INDEX(Cadastro_Atletas!$C$2:$C$401,MATCH(D191,Cadastro_Atletas!$D$2:$D$401,0)),""))</f>
        <v/>
      </c>
    </row>
    <row r="192">
      <c r="E192">
        <f>IF(D192="","",IFERROR(INDEX(Cadastro_Atletas!$C$2:$C$401,MATCH(D192,Cadastro_Atletas!$D$2:$D$401,0)),""))</f>
        <v/>
      </c>
    </row>
    <row r="193">
      <c r="E193">
        <f>IF(D193="","",IFERROR(INDEX(Cadastro_Atletas!$C$2:$C$401,MATCH(D193,Cadastro_Atletas!$D$2:$D$401,0)),""))</f>
        <v/>
      </c>
    </row>
    <row r="194">
      <c r="E194">
        <f>IF(D194="","",IFERROR(INDEX(Cadastro_Atletas!$C$2:$C$401,MATCH(D194,Cadastro_Atletas!$D$2:$D$401,0)),""))</f>
        <v/>
      </c>
    </row>
    <row r="195">
      <c r="E195">
        <f>IF(D195="","",IFERROR(INDEX(Cadastro_Atletas!$C$2:$C$401,MATCH(D195,Cadastro_Atletas!$D$2:$D$401,0)),""))</f>
        <v/>
      </c>
    </row>
    <row r="196">
      <c r="E196">
        <f>IF(D196="","",IFERROR(INDEX(Cadastro_Atletas!$C$2:$C$401,MATCH(D196,Cadastro_Atletas!$D$2:$D$401,0)),""))</f>
        <v/>
      </c>
    </row>
    <row r="197">
      <c r="E197">
        <f>IF(D197="","",IFERROR(INDEX(Cadastro_Atletas!$C$2:$C$401,MATCH(D197,Cadastro_Atletas!$D$2:$D$401,0)),""))</f>
        <v/>
      </c>
    </row>
    <row r="198">
      <c r="E198">
        <f>IF(D198="","",IFERROR(INDEX(Cadastro_Atletas!$C$2:$C$401,MATCH(D198,Cadastro_Atletas!$D$2:$D$401,0)),""))</f>
        <v/>
      </c>
    </row>
    <row r="199">
      <c r="E199">
        <f>IF(D199="","",IFERROR(INDEX(Cadastro_Atletas!$C$2:$C$401,MATCH(D199,Cadastro_Atletas!$D$2:$D$401,0)),""))</f>
        <v/>
      </c>
    </row>
    <row r="200">
      <c r="E200">
        <f>IF(D200="","",IFERROR(INDEX(Cadastro_Atletas!$C$2:$C$401,MATCH(D200,Cadastro_Atletas!$D$2:$D$401,0)),""))</f>
        <v/>
      </c>
    </row>
    <row r="201">
      <c r="E201">
        <f>IF(D201="","",IFERROR(INDEX(Cadastro_Atletas!$C$2:$C$401,MATCH(D201,Cadastro_Atletas!$D$2:$D$401,0)),""))</f>
        <v/>
      </c>
    </row>
    <row r="202">
      <c r="E202">
        <f>IF(D202="","",IFERROR(INDEX(Cadastro_Atletas!$C$2:$C$401,MATCH(D202,Cadastro_Atletas!$D$2:$D$401,0)),""))</f>
        <v/>
      </c>
    </row>
    <row r="203">
      <c r="E203">
        <f>IF(D203="","",IFERROR(INDEX(Cadastro_Atletas!$C$2:$C$401,MATCH(D203,Cadastro_Atletas!$D$2:$D$401,0)),""))</f>
        <v/>
      </c>
    </row>
    <row r="204">
      <c r="E204">
        <f>IF(D204="","",IFERROR(INDEX(Cadastro_Atletas!$C$2:$C$401,MATCH(D204,Cadastro_Atletas!$D$2:$D$401,0)),""))</f>
        <v/>
      </c>
    </row>
    <row r="205">
      <c r="E205">
        <f>IF(D205="","",IFERROR(INDEX(Cadastro_Atletas!$C$2:$C$401,MATCH(D205,Cadastro_Atletas!$D$2:$D$401,0)),""))</f>
        <v/>
      </c>
    </row>
    <row r="206">
      <c r="E206">
        <f>IF(D206="","",IFERROR(INDEX(Cadastro_Atletas!$C$2:$C$401,MATCH(D206,Cadastro_Atletas!$D$2:$D$401,0)),""))</f>
        <v/>
      </c>
    </row>
    <row r="207">
      <c r="E207">
        <f>IF(D207="","",IFERROR(INDEX(Cadastro_Atletas!$C$2:$C$401,MATCH(D207,Cadastro_Atletas!$D$2:$D$401,0)),""))</f>
        <v/>
      </c>
    </row>
    <row r="208">
      <c r="E208">
        <f>IF(D208="","",IFERROR(INDEX(Cadastro_Atletas!$C$2:$C$401,MATCH(D208,Cadastro_Atletas!$D$2:$D$401,0)),""))</f>
        <v/>
      </c>
    </row>
    <row r="209">
      <c r="E209">
        <f>IF(D209="","",IFERROR(INDEX(Cadastro_Atletas!$C$2:$C$401,MATCH(D209,Cadastro_Atletas!$D$2:$D$401,0)),""))</f>
        <v/>
      </c>
    </row>
    <row r="210">
      <c r="E210">
        <f>IF(D210="","",IFERROR(INDEX(Cadastro_Atletas!$C$2:$C$401,MATCH(D210,Cadastro_Atletas!$D$2:$D$401,0)),""))</f>
        <v/>
      </c>
    </row>
    <row r="211">
      <c r="E211">
        <f>IF(D211="","",IFERROR(INDEX(Cadastro_Atletas!$C$2:$C$401,MATCH(D211,Cadastro_Atletas!$D$2:$D$401,0)),""))</f>
        <v/>
      </c>
    </row>
    <row r="212">
      <c r="E212">
        <f>IF(D212="","",IFERROR(INDEX(Cadastro_Atletas!$C$2:$C$401,MATCH(D212,Cadastro_Atletas!$D$2:$D$401,0)),""))</f>
        <v/>
      </c>
    </row>
    <row r="213">
      <c r="E213">
        <f>IF(D213="","",IFERROR(INDEX(Cadastro_Atletas!$C$2:$C$401,MATCH(D213,Cadastro_Atletas!$D$2:$D$401,0)),""))</f>
        <v/>
      </c>
    </row>
    <row r="214">
      <c r="E214">
        <f>IF(D214="","",IFERROR(INDEX(Cadastro_Atletas!$C$2:$C$401,MATCH(D214,Cadastro_Atletas!$D$2:$D$401,0)),""))</f>
        <v/>
      </c>
    </row>
    <row r="215">
      <c r="E215">
        <f>IF(D215="","",IFERROR(INDEX(Cadastro_Atletas!$C$2:$C$401,MATCH(D215,Cadastro_Atletas!$D$2:$D$401,0)),""))</f>
        <v/>
      </c>
    </row>
    <row r="216">
      <c r="E216">
        <f>IF(D216="","",IFERROR(INDEX(Cadastro_Atletas!$C$2:$C$401,MATCH(D216,Cadastro_Atletas!$D$2:$D$401,0)),""))</f>
        <v/>
      </c>
    </row>
    <row r="217">
      <c r="E217">
        <f>IF(D217="","",IFERROR(INDEX(Cadastro_Atletas!$C$2:$C$401,MATCH(D217,Cadastro_Atletas!$D$2:$D$401,0)),""))</f>
        <v/>
      </c>
    </row>
    <row r="218">
      <c r="E218">
        <f>IF(D218="","",IFERROR(INDEX(Cadastro_Atletas!$C$2:$C$401,MATCH(D218,Cadastro_Atletas!$D$2:$D$401,0)),""))</f>
        <v/>
      </c>
    </row>
    <row r="219">
      <c r="E219">
        <f>IF(D219="","",IFERROR(INDEX(Cadastro_Atletas!$C$2:$C$401,MATCH(D219,Cadastro_Atletas!$D$2:$D$401,0)),""))</f>
        <v/>
      </c>
    </row>
    <row r="220">
      <c r="E220">
        <f>IF(D220="","",IFERROR(INDEX(Cadastro_Atletas!$C$2:$C$401,MATCH(D220,Cadastro_Atletas!$D$2:$D$401,0)),""))</f>
        <v/>
      </c>
    </row>
    <row r="221">
      <c r="E221">
        <f>IF(D221="","",IFERROR(INDEX(Cadastro_Atletas!$C$2:$C$401,MATCH(D221,Cadastro_Atletas!$D$2:$D$401,0)),""))</f>
        <v/>
      </c>
    </row>
    <row r="222">
      <c r="E222">
        <f>IF(D222="","",IFERROR(INDEX(Cadastro_Atletas!$C$2:$C$401,MATCH(D222,Cadastro_Atletas!$D$2:$D$401,0)),""))</f>
        <v/>
      </c>
    </row>
    <row r="223">
      <c r="E223">
        <f>IF(D223="","",IFERROR(INDEX(Cadastro_Atletas!$C$2:$C$401,MATCH(D223,Cadastro_Atletas!$D$2:$D$401,0)),""))</f>
        <v/>
      </c>
    </row>
    <row r="224">
      <c r="E224">
        <f>IF(D224="","",IFERROR(INDEX(Cadastro_Atletas!$C$2:$C$401,MATCH(D224,Cadastro_Atletas!$D$2:$D$401,0)),""))</f>
        <v/>
      </c>
    </row>
    <row r="225">
      <c r="E225">
        <f>IF(D225="","",IFERROR(INDEX(Cadastro_Atletas!$C$2:$C$401,MATCH(D225,Cadastro_Atletas!$D$2:$D$401,0)),""))</f>
        <v/>
      </c>
    </row>
    <row r="226">
      <c r="E226">
        <f>IF(D226="","",IFERROR(INDEX(Cadastro_Atletas!$C$2:$C$401,MATCH(D226,Cadastro_Atletas!$D$2:$D$401,0)),""))</f>
        <v/>
      </c>
    </row>
    <row r="227">
      <c r="E227">
        <f>IF(D227="","",IFERROR(INDEX(Cadastro_Atletas!$C$2:$C$401,MATCH(D227,Cadastro_Atletas!$D$2:$D$401,0)),""))</f>
        <v/>
      </c>
    </row>
    <row r="228">
      <c r="E228">
        <f>IF(D228="","",IFERROR(INDEX(Cadastro_Atletas!$C$2:$C$401,MATCH(D228,Cadastro_Atletas!$D$2:$D$401,0)),""))</f>
        <v/>
      </c>
    </row>
    <row r="229">
      <c r="E229">
        <f>IF(D229="","",IFERROR(INDEX(Cadastro_Atletas!$C$2:$C$401,MATCH(D229,Cadastro_Atletas!$D$2:$D$401,0)),""))</f>
        <v/>
      </c>
    </row>
    <row r="230">
      <c r="E230">
        <f>IF(D230="","",IFERROR(INDEX(Cadastro_Atletas!$C$2:$C$401,MATCH(D230,Cadastro_Atletas!$D$2:$D$401,0)),""))</f>
        <v/>
      </c>
    </row>
    <row r="231">
      <c r="E231">
        <f>IF(D231="","",IFERROR(INDEX(Cadastro_Atletas!$C$2:$C$401,MATCH(D231,Cadastro_Atletas!$D$2:$D$401,0)),""))</f>
        <v/>
      </c>
    </row>
    <row r="232">
      <c r="E232">
        <f>IF(D232="","",IFERROR(INDEX(Cadastro_Atletas!$C$2:$C$401,MATCH(D232,Cadastro_Atletas!$D$2:$D$401,0)),""))</f>
        <v/>
      </c>
    </row>
    <row r="233">
      <c r="E233">
        <f>IF(D233="","",IFERROR(INDEX(Cadastro_Atletas!$C$2:$C$401,MATCH(D233,Cadastro_Atletas!$D$2:$D$401,0)),""))</f>
        <v/>
      </c>
    </row>
    <row r="234">
      <c r="E234">
        <f>IF(D234="","",IFERROR(INDEX(Cadastro_Atletas!$C$2:$C$401,MATCH(D234,Cadastro_Atletas!$D$2:$D$401,0)),""))</f>
        <v/>
      </c>
    </row>
    <row r="235">
      <c r="E235">
        <f>IF(D235="","",IFERROR(INDEX(Cadastro_Atletas!$C$2:$C$401,MATCH(D235,Cadastro_Atletas!$D$2:$D$401,0)),""))</f>
        <v/>
      </c>
    </row>
    <row r="236">
      <c r="E236">
        <f>IF(D236="","",IFERROR(INDEX(Cadastro_Atletas!$C$2:$C$401,MATCH(D236,Cadastro_Atletas!$D$2:$D$401,0)),""))</f>
        <v/>
      </c>
    </row>
    <row r="237">
      <c r="E237">
        <f>IF(D237="","",IFERROR(INDEX(Cadastro_Atletas!$C$2:$C$401,MATCH(D237,Cadastro_Atletas!$D$2:$D$401,0)),""))</f>
        <v/>
      </c>
    </row>
    <row r="238">
      <c r="E238">
        <f>IF(D238="","",IFERROR(INDEX(Cadastro_Atletas!$C$2:$C$401,MATCH(D238,Cadastro_Atletas!$D$2:$D$401,0)),""))</f>
        <v/>
      </c>
    </row>
    <row r="239">
      <c r="E239">
        <f>IF(D239="","",IFERROR(INDEX(Cadastro_Atletas!$C$2:$C$401,MATCH(D239,Cadastro_Atletas!$D$2:$D$401,0)),""))</f>
        <v/>
      </c>
    </row>
    <row r="240">
      <c r="E240">
        <f>IF(D240="","",IFERROR(INDEX(Cadastro_Atletas!$C$2:$C$401,MATCH(D240,Cadastro_Atletas!$D$2:$D$401,0)),""))</f>
        <v/>
      </c>
    </row>
    <row r="241">
      <c r="E241">
        <f>IF(D241="","",IFERROR(INDEX(Cadastro_Atletas!$C$2:$C$401,MATCH(D241,Cadastro_Atletas!$D$2:$D$401,0)),""))</f>
        <v/>
      </c>
    </row>
    <row r="242">
      <c r="E242">
        <f>IF(D242="","",IFERROR(INDEX(Cadastro_Atletas!$C$2:$C$401,MATCH(D242,Cadastro_Atletas!$D$2:$D$401,0)),""))</f>
        <v/>
      </c>
    </row>
    <row r="243">
      <c r="E243">
        <f>IF(D243="","",IFERROR(INDEX(Cadastro_Atletas!$C$2:$C$401,MATCH(D243,Cadastro_Atletas!$D$2:$D$401,0)),""))</f>
        <v/>
      </c>
    </row>
    <row r="244">
      <c r="E244">
        <f>IF(D244="","",IFERROR(INDEX(Cadastro_Atletas!$C$2:$C$401,MATCH(D244,Cadastro_Atletas!$D$2:$D$401,0)),""))</f>
        <v/>
      </c>
    </row>
    <row r="245">
      <c r="E245">
        <f>IF(D245="","",IFERROR(INDEX(Cadastro_Atletas!$C$2:$C$401,MATCH(D245,Cadastro_Atletas!$D$2:$D$401,0)),""))</f>
        <v/>
      </c>
    </row>
    <row r="246">
      <c r="E246">
        <f>IF(D246="","",IFERROR(INDEX(Cadastro_Atletas!$C$2:$C$401,MATCH(D246,Cadastro_Atletas!$D$2:$D$401,0)),""))</f>
        <v/>
      </c>
    </row>
    <row r="247">
      <c r="E247">
        <f>IF(D247="","",IFERROR(INDEX(Cadastro_Atletas!$C$2:$C$401,MATCH(D247,Cadastro_Atletas!$D$2:$D$401,0)),""))</f>
        <v/>
      </c>
    </row>
    <row r="248">
      <c r="E248">
        <f>IF(D248="","",IFERROR(INDEX(Cadastro_Atletas!$C$2:$C$401,MATCH(D248,Cadastro_Atletas!$D$2:$D$401,0)),""))</f>
        <v/>
      </c>
    </row>
    <row r="249">
      <c r="E249">
        <f>IF(D249="","",IFERROR(INDEX(Cadastro_Atletas!$C$2:$C$401,MATCH(D249,Cadastro_Atletas!$D$2:$D$401,0)),""))</f>
        <v/>
      </c>
    </row>
    <row r="250">
      <c r="E250">
        <f>IF(D250="","",IFERROR(INDEX(Cadastro_Atletas!$C$2:$C$401,MATCH(D250,Cadastro_Atletas!$D$2:$D$401,0)),""))</f>
        <v/>
      </c>
    </row>
    <row r="251">
      <c r="E251">
        <f>IF(D251="","",IFERROR(INDEX(Cadastro_Atletas!$C$2:$C$401,MATCH(D251,Cadastro_Atletas!$D$2:$D$401,0)),""))</f>
        <v/>
      </c>
    </row>
    <row r="252">
      <c r="E252">
        <f>IF(D252="","",IFERROR(INDEX(Cadastro_Atletas!$C$2:$C$401,MATCH(D252,Cadastro_Atletas!$D$2:$D$401,0)),""))</f>
        <v/>
      </c>
    </row>
    <row r="253">
      <c r="E253">
        <f>IF(D253="","",IFERROR(INDEX(Cadastro_Atletas!$C$2:$C$401,MATCH(D253,Cadastro_Atletas!$D$2:$D$401,0)),""))</f>
        <v/>
      </c>
    </row>
    <row r="254">
      <c r="E254">
        <f>IF(D254="","",IFERROR(INDEX(Cadastro_Atletas!$C$2:$C$401,MATCH(D254,Cadastro_Atletas!$D$2:$D$401,0)),""))</f>
        <v/>
      </c>
    </row>
    <row r="255">
      <c r="E255">
        <f>IF(D255="","",IFERROR(INDEX(Cadastro_Atletas!$C$2:$C$401,MATCH(D255,Cadastro_Atletas!$D$2:$D$401,0)),""))</f>
        <v/>
      </c>
    </row>
    <row r="256">
      <c r="E256">
        <f>IF(D256="","",IFERROR(INDEX(Cadastro_Atletas!$C$2:$C$401,MATCH(D256,Cadastro_Atletas!$D$2:$D$401,0)),""))</f>
        <v/>
      </c>
    </row>
    <row r="257">
      <c r="E257">
        <f>IF(D257="","",IFERROR(INDEX(Cadastro_Atletas!$C$2:$C$401,MATCH(D257,Cadastro_Atletas!$D$2:$D$401,0)),""))</f>
        <v/>
      </c>
    </row>
    <row r="258">
      <c r="E258">
        <f>IF(D258="","",IFERROR(INDEX(Cadastro_Atletas!$C$2:$C$401,MATCH(D258,Cadastro_Atletas!$D$2:$D$401,0)),""))</f>
        <v/>
      </c>
    </row>
    <row r="259">
      <c r="E259">
        <f>IF(D259="","",IFERROR(INDEX(Cadastro_Atletas!$C$2:$C$401,MATCH(D259,Cadastro_Atletas!$D$2:$D$401,0)),""))</f>
        <v/>
      </c>
    </row>
    <row r="260">
      <c r="E260">
        <f>IF(D260="","",IFERROR(INDEX(Cadastro_Atletas!$C$2:$C$401,MATCH(D260,Cadastro_Atletas!$D$2:$D$401,0)),""))</f>
        <v/>
      </c>
    </row>
    <row r="261">
      <c r="E261">
        <f>IF(D261="","",IFERROR(INDEX(Cadastro_Atletas!$C$2:$C$401,MATCH(D261,Cadastro_Atletas!$D$2:$D$401,0)),""))</f>
        <v/>
      </c>
    </row>
    <row r="262">
      <c r="E262">
        <f>IF(D262="","",IFERROR(INDEX(Cadastro_Atletas!$C$2:$C$401,MATCH(D262,Cadastro_Atletas!$D$2:$D$401,0)),""))</f>
        <v/>
      </c>
    </row>
    <row r="263">
      <c r="E263">
        <f>IF(D263="","",IFERROR(INDEX(Cadastro_Atletas!$C$2:$C$401,MATCH(D263,Cadastro_Atletas!$D$2:$D$401,0)),""))</f>
        <v/>
      </c>
    </row>
    <row r="264">
      <c r="E264">
        <f>IF(D264="","",IFERROR(INDEX(Cadastro_Atletas!$C$2:$C$401,MATCH(D264,Cadastro_Atletas!$D$2:$D$401,0)),""))</f>
        <v/>
      </c>
    </row>
    <row r="265">
      <c r="E265">
        <f>IF(D265="","",IFERROR(INDEX(Cadastro_Atletas!$C$2:$C$401,MATCH(D265,Cadastro_Atletas!$D$2:$D$401,0)),""))</f>
        <v/>
      </c>
    </row>
    <row r="266">
      <c r="E266">
        <f>IF(D266="","",IFERROR(INDEX(Cadastro_Atletas!$C$2:$C$401,MATCH(D266,Cadastro_Atletas!$D$2:$D$401,0)),""))</f>
        <v/>
      </c>
    </row>
    <row r="267">
      <c r="E267">
        <f>IF(D267="","",IFERROR(INDEX(Cadastro_Atletas!$C$2:$C$401,MATCH(D267,Cadastro_Atletas!$D$2:$D$401,0)),""))</f>
        <v/>
      </c>
    </row>
    <row r="268">
      <c r="E268">
        <f>IF(D268="","",IFERROR(INDEX(Cadastro_Atletas!$C$2:$C$401,MATCH(D268,Cadastro_Atletas!$D$2:$D$401,0)),""))</f>
        <v/>
      </c>
    </row>
    <row r="269">
      <c r="E269">
        <f>IF(D269="","",IFERROR(INDEX(Cadastro_Atletas!$C$2:$C$401,MATCH(D269,Cadastro_Atletas!$D$2:$D$401,0)),""))</f>
        <v/>
      </c>
    </row>
    <row r="270">
      <c r="E270">
        <f>IF(D270="","",IFERROR(INDEX(Cadastro_Atletas!$C$2:$C$401,MATCH(D270,Cadastro_Atletas!$D$2:$D$401,0)),""))</f>
        <v/>
      </c>
    </row>
    <row r="271">
      <c r="E271">
        <f>IF(D271="","",IFERROR(INDEX(Cadastro_Atletas!$C$2:$C$401,MATCH(D271,Cadastro_Atletas!$D$2:$D$401,0)),""))</f>
        <v/>
      </c>
    </row>
    <row r="272">
      <c r="E272">
        <f>IF(D272="","",IFERROR(INDEX(Cadastro_Atletas!$C$2:$C$401,MATCH(D272,Cadastro_Atletas!$D$2:$D$401,0)),""))</f>
        <v/>
      </c>
    </row>
    <row r="273">
      <c r="E273">
        <f>IF(D273="","",IFERROR(INDEX(Cadastro_Atletas!$C$2:$C$401,MATCH(D273,Cadastro_Atletas!$D$2:$D$401,0)),""))</f>
        <v/>
      </c>
    </row>
    <row r="274">
      <c r="E274">
        <f>IF(D274="","",IFERROR(INDEX(Cadastro_Atletas!$C$2:$C$401,MATCH(D274,Cadastro_Atletas!$D$2:$D$401,0)),""))</f>
        <v/>
      </c>
    </row>
    <row r="275">
      <c r="E275">
        <f>IF(D275="","",IFERROR(INDEX(Cadastro_Atletas!$C$2:$C$401,MATCH(D275,Cadastro_Atletas!$D$2:$D$401,0)),""))</f>
        <v/>
      </c>
    </row>
    <row r="276">
      <c r="E276">
        <f>IF(D276="","",IFERROR(INDEX(Cadastro_Atletas!$C$2:$C$401,MATCH(D276,Cadastro_Atletas!$D$2:$D$401,0)),""))</f>
        <v/>
      </c>
    </row>
    <row r="277">
      <c r="E277">
        <f>IF(D277="","",IFERROR(INDEX(Cadastro_Atletas!$C$2:$C$401,MATCH(D277,Cadastro_Atletas!$D$2:$D$401,0)),""))</f>
        <v/>
      </c>
    </row>
    <row r="278">
      <c r="E278">
        <f>IF(D278="","",IFERROR(INDEX(Cadastro_Atletas!$C$2:$C$401,MATCH(D278,Cadastro_Atletas!$D$2:$D$401,0)),""))</f>
        <v/>
      </c>
    </row>
    <row r="279">
      <c r="E279">
        <f>IF(D279="","",IFERROR(INDEX(Cadastro_Atletas!$C$2:$C$401,MATCH(D279,Cadastro_Atletas!$D$2:$D$401,0)),""))</f>
        <v/>
      </c>
    </row>
    <row r="280">
      <c r="E280">
        <f>IF(D280="","",IFERROR(INDEX(Cadastro_Atletas!$C$2:$C$401,MATCH(D280,Cadastro_Atletas!$D$2:$D$401,0)),""))</f>
        <v/>
      </c>
    </row>
    <row r="281">
      <c r="E281">
        <f>IF(D281="","",IFERROR(INDEX(Cadastro_Atletas!$C$2:$C$401,MATCH(D281,Cadastro_Atletas!$D$2:$D$401,0)),""))</f>
        <v/>
      </c>
    </row>
    <row r="282">
      <c r="E282">
        <f>IF(D282="","",IFERROR(INDEX(Cadastro_Atletas!$C$2:$C$401,MATCH(D282,Cadastro_Atletas!$D$2:$D$401,0)),""))</f>
        <v/>
      </c>
    </row>
    <row r="283">
      <c r="E283">
        <f>IF(D283="","",IFERROR(INDEX(Cadastro_Atletas!$C$2:$C$401,MATCH(D283,Cadastro_Atletas!$D$2:$D$401,0)),""))</f>
        <v/>
      </c>
    </row>
    <row r="284">
      <c r="E284">
        <f>IF(D284="","",IFERROR(INDEX(Cadastro_Atletas!$C$2:$C$401,MATCH(D284,Cadastro_Atletas!$D$2:$D$401,0)),""))</f>
        <v/>
      </c>
    </row>
    <row r="285">
      <c r="E285">
        <f>IF(D285="","",IFERROR(INDEX(Cadastro_Atletas!$C$2:$C$401,MATCH(D285,Cadastro_Atletas!$D$2:$D$401,0)),""))</f>
        <v/>
      </c>
    </row>
    <row r="286">
      <c r="E286">
        <f>IF(D286="","",IFERROR(INDEX(Cadastro_Atletas!$C$2:$C$401,MATCH(D286,Cadastro_Atletas!$D$2:$D$401,0)),""))</f>
        <v/>
      </c>
    </row>
    <row r="287">
      <c r="E287">
        <f>IF(D287="","",IFERROR(INDEX(Cadastro_Atletas!$C$2:$C$401,MATCH(D287,Cadastro_Atletas!$D$2:$D$401,0)),""))</f>
        <v/>
      </c>
    </row>
    <row r="288">
      <c r="E288">
        <f>IF(D288="","",IFERROR(INDEX(Cadastro_Atletas!$C$2:$C$401,MATCH(D288,Cadastro_Atletas!$D$2:$D$401,0)),""))</f>
        <v/>
      </c>
    </row>
    <row r="289">
      <c r="E289">
        <f>IF(D289="","",IFERROR(INDEX(Cadastro_Atletas!$C$2:$C$401,MATCH(D289,Cadastro_Atletas!$D$2:$D$401,0)),""))</f>
        <v/>
      </c>
    </row>
    <row r="290">
      <c r="E290">
        <f>IF(D290="","",IFERROR(INDEX(Cadastro_Atletas!$C$2:$C$401,MATCH(D290,Cadastro_Atletas!$D$2:$D$401,0)),""))</f>
        <v/>
      </c>
    </row>
    <row r="291">
      <c r="E291">
        <f>IF(D291="","",IFERROR(INDEX(Cadastro_Atletas!$C$2:$C$401,MATCH(D291,Cadastro_Atletas!$D$2:$D$401,0)),""))</f>
        <v/>
      </c>
    </row>
    <row r="292">
      <c r="E292">
        <f>IF(D292="","",IFERROR(INDEX(Cadastro_Atletas!$C$2:$C$401,MATCH(D292,Cadastro_Atletas!$D$2:$D$401,0)),""))</f>
        <v/>
      </c>
    </row>
    <row r="293">
      <c r="E293">
        <f>IF(D293="","",IFERROR(INDEX(Cadastro_Atletas!$C$2:$C$401,MATCH(D293,Cadastro_Atletas!$D$2:$D$401,0)),""))</f>
        <v/>
      </c>
    </row>
    <row r="294">
      <c r="E294">
        <f>IF(D294="","",IFERROR(INDEX(Cadastro_Atletas!$C$2:$C$401,MATCH(D294,Cadastro_Atletas!$D$2:$D$401,0)),""))</f>
        <v/>
      </c>
    </row>
    <row r="295">
      <c r="E295">
        <f>IF(D295="","",IFERROR(INDEX(Cadastro_Atletas!$C$2:$C$401,MATCH(D295,Cadastro_Atletas!$D$2:$D$401,0)),""))</f>
        <v/>
      </c>
    </row>
    <row r="296">
      <c r="E296">
        <f>IF(D296="","",IFERROR(INDEX(Cadastro_Atletas!$C$2:$C$401,MATCH(D296,Cadastro_Atletas!$D$2:$D$401,0)),""))</f>
        <v/>
      </c>
    </row>
    <row r="297">
      <c r="E297">
        <f>IF(D297="","",IFERROR(INDEX(Cadastro_Atletas!$C$2:$C$401,MATCH(D297,Cadastro_Atletas!$D$2:$D$401,0)),""))</f>
        <v/>
      </c>
    </row>
    <row r="298">
      <c r="E298">
        <f>IF(D298="","",IFERROR(INDEX(Cadastro_Atletas!$C$2:$C$401,MATCH(D298,Cadastro_Atletas!$D$2:$D$401,0)),""))</f>
        <v/>
      </c>
    </row>
    <row r="299">
      <c r="E299">
        <f>IF(D299="","",IFERROR(INDEX(Cadastro_Atletas!$C$2:$C$401,MATCH(D299,Cadastro_Atletas!$D$2:$D$401,0)),""))</f>
        <v/>
      </c>
    </row>
    <row r="300">
      <c r="E300">
        <f>IF(D300="","",IFERROR(INDEX(Cadastro_Atletas!$C$2:$C$401,MATCH(D300,Cadastro_Atletas!$D$2:$D$401,0)),""))</f>
        <v/>
      </c>
    </row>
    <row r="301">
      <c r="E301">
        <f>IF(D301="","",IFERROR(INDEX(Cadastro_Atletas!$C$2:$C$401,MATCH(D301,Cadastro_Atletas!$D$2:$D$401,0)),""))</f>
        <v/>
      </c>
    </row>
  </sheetData>
  <autoFilter ref="A1:L301"/>
  <dataValidations count="1">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showDropDown="0" showInputMessage="0" showErrorMessage="0" allowBlank="1" type="list">
      <formula1>='Cadastro_Times'!$B$2:$B$21</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9"/>
  <sheetViews>
    <sheetView showGridLines="0" workbookViewId="0">
      <pane ySplit="1" topLeftCell="A2" activePane="bottomLeft" state="frozen"/>
      <selection pane="bottomLeft" activeCell="A1" sqref="A1"/>
    </sheetView>
  </sheetViews>
  <sheetFormatPr baseColWidth="8" defaultRowHeight="15"/>
  <cols>
    <col width="32" customWidth="1" min="1" max="1"/>
    <col width="28" customWidth="1" min="2" max="2"/>
    <col width="12" customWidth="1" min="3" max="3"/>
  </cols>
  <sheetData>
    <row r="1">
      <c r="A1" s="7" t="inlineStr">
        <is>
          <t>Indicador</t>
        </is>
      </c>
      <c r="B1" s="7" t="inlineStr">
        <is>
          <t>Atleta</t>
        </is>
      </c>
      <c r="C1" s="7" t="inlineStr">
        <is>
          <t>Total</t>
        </is>
      </c>
    </row>
    <row r="2">
      <c r="A2" t="inlineStr">
        <is>
          <t>Artilheiro Futsal</t>
        </is>
      </c>
      <c r="B2">
        <f>IFERROR(INDEX(Sumula_Futsal!$E$2:$E$301,MATCH(MAX(Sumula_Futsal!$F$2:$F$301),Sumula_Futsal!$F$2:$F$301,0)),"")</f>
        <v/>
      </c>
      <c r="C2">
        <f>IFERROR(MAX(Sumula_Futsal!$F$2:$F$301),0)</f>
        <v/>
      </c>
    </row>
    <row r="3">
      <c r="A3" t="inlineStr">
        <is>
          <t>Mais amarelos</t>
        </is>
      </c>
      <c r="B3">
        <f>IFERROR(INDEX(Sumula_Futsal!$E$2:$E$301,MATCH(MAX(Sumula_Futsal!$G$2:$G$301),Sumula_Futsal!$G$2:$G$301,0)),"")</f>
        <v/>
      </c>
      <c r="C3">
        <f>IFERROR(MAX(Sumula_Futsal!$G$2:$G$301),0)</f>
        <v/>
      </c>
    </row>
    <row r="4">
      <c r="A4" t="inlineStr">
        <is>
          <t>Mais vermelhos</t>
        </is>
      </c>
      <c r="B4">
        <f>IFERROR(INDEX(Sumula_Futsal!$E$2:$E$301,MATCH(MAX(Sumula_Futsal!$H$2:$H$301),Sumula_Futsal!$H$2:$H$301,0)),"")</f>
        <v/>
      </c>
      <c r="C4">
        <f>IFERROR(MAX(Sumula_Futsal!$H$2:$H$301),0)</f>
        <v/>
      </c>
    </row>
    <row r="6">
      <c r="A6" t="inlineStr">
        <is>
          <t>Melhor Atacante Vôlei</t>
        </is>
      </c>
      <c r="B6">
        <f>IFERROR(INDEX(Sumula_Volei!$E$2:$E$301,MATCH(MAX(Sumula_Volei!$F$2:$F$301),Sumula_Volei!$F$2:$F$301,0)),"")</f>
        <v/>
      </c>
      <c r="C6">
        <f>IFERROR(MAX(Sumula_Volei!$F$2:$F$301),0)</f>
        <v/>
      </c>
    </row>
    <row r="7">
      <c r="A7" t="inlineStr">
        <is>
          <t>Melhor Levantador</t>
        </is>
      </c>
      <c r="B7">
        <f>IFERROR(INDEX(Sumula_Volei!$E$2:$E$301,MATCH(MAX(Sumula_Volei!$G$2:$G$301),Sumula_Volei!$G$2:$G$301,0)),"")</f>
        <v/>
      </c>
      <c r="C7">
        <f>IFERROR(MAX(Sumula_Volei!$G$2:$G$301),0)</f>
        <v/>
      </c>
    </row>
    <row r="8">
      <c r="A8" t="inlineStr">
        <is>
          <t>Melhor Defensor</t>
        </is>
      </c>
      <c r="B8">
        <f>IFERROR(INDEX(Sumula_Volei!$E$2:$E$301,MATCH(MAX(Sumula_Volei!$H$2:$H$301),Sumula_Volei!$H$2:$H$301,0)),"")</f>
        <v/>
      </c>
      <c r="C8">
        <f>IFERROR(MAX(Sumula_Volei!$H$2:$H$301),0)</f>
        <v/>
      </c>
    </row>
    <row r="9">
      <c r="A9" t="inlineStr">
        <is>
          <t>Melhor Bloqueador</t>
        </is>
      </c>
      <c r="B9">
        <f>IFERROR(INDEX(Sumula_Volei!$E$2:$E$301,MATCH(MAX(Sumula_Volei!$I$2:$I$301),Sumula_Volei!$I$2:$I$301,0)),"")</f>
        <v/>
      </c>
      <c r="C9">
        <f>IFERROR(MAX(Sumula_Volei!$I$2:$I$301),0)</f>
        <v/>
      </c>
    </row>
  </sheetData>
  <autoFilter ref="A1:C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1"/>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s>
  <sheetData>
    <row r="1">
      <c r="A1" s="3" t="inlineStr">
        <is>
          <t>Dashboard do Campeonato</t>
        </is>
      </c>
    </row>
    <row r="3">
      <c r="A3" t="inlineStr">
        <is>
          <t>Total Times</t>
        </is>
      </c>
      <c r="B3">
        <f>COUNTA(Cadastro_Times!B2:B21)</f>
        <v/>
      </c>
    </row>
    <row r="4">
      <c r="A4" t="inlineStr">
        <is>
          <t>Total Atletas</t>
        </is>
      </c>
      <c r="B4">
        <f>COUNTA(Cadastro_Atletas!C2:C401)</f>
        <v/>
      </c>
    </row>
    <row r="5">
      <c r="A5" t="inlineStr">
        <is>
          <t>Jogos Futsal lançados</t>
        </is>
      </c>
      <c r="B5">
        <f>COUNT(Jogos_Futsal!E2:E201)</f>
        <v/>
      </c>
    </row>
    <row r="6">
      <c r="A6" t="inlineStr">
        <is>
          <t>Jogos Vôlei lançados</t>
        </is>
      </c>
      <c r="B6">
        <f>COUNT(Jogos_Volei!E2:E201)</f>
        <v/>
      </c>
    </row>
    <row r="7">
      <c r="A7" t="inlineStr">
        <is>
          <t>Gols no Futsal</t>
        </is>
      </c>
      <c r="B7">
        <f>SUM(Sumula_Futsal!F2:F301)</f>
        <v/>
      </c>
    </row>
    <row r="8">
      <c r="A8" t="inlineStr">
        <is>
          <t>Suspensos</t>
        </is>
      </c>
      <c r="B8">
        <f>COUNTIF(Sumula_Futsal!I2:I301,"Sim")</f>
        <v/>
      </c>
    </row>
    <row r="10">
      <c r="A10" t="inlineStr">
        <is>
          <t>Artilheiro atual</t>
        </is>
      </c>
      <c r="B10">
        <f>Rankings!B2</f>
        <v/>
      </c>
    </row>
    <row r="11">
      <c r="A11" t="inlineStr">
        <is>
          <t>Melhor atacante</t>
        </is>
      </c>
      <c r="B11">
        <f>Rankings!B6</f>
        <v/>
      </c>
    </row>
  </sheetData>
  <mergeCells count="1">
    <mergeCell ref="A1:B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8"/>
  <sheetViews>
    <sheetView showGridLines="0" workbookViewId="0">
      <selection activeCell="A1" sqref="A1"/>
    </sheetView>
  </sheetViews>
  <sheetFormatPr baseColWidth="8" defaultRowHeight="15"/>
  <cols>
    <col width="110" customWidth="1" min="1" max="1"/>
  </cols>
  <sheetData>
    <row r="1">
      <c r="A1" s="3" t="inlineStr">
        <is>
          <t>Como usar esta versão</t>
        </is>
      </c>
    </row>
    <row r="3">
      <c r="A3" t="inlineStr">
        <is>
          <t>1. Cadastre os times e defina os grupos de Futsal e Vôlei.</t>
        </is>
      </c>
    </row>
    <row r="4">
      <c r="A4" t="inlineStr">
        <is>
          <t>2. No cadastro dos atletas, use os níveis: A - Avançado | B - Intermediário | C - Básico | D - Iniciante.</t>
        </is>
      </c>
    </row>
    <row r="5">
      <c r="A5" t="inlineStr">
        <is>
          <t>3. Em Config, defina se a fase de grupos e o mata-mata serão Jogo único ou Ida e volta.</t>
        </is>
      </c>
    </row>
    <row r="6">
      <c r="A6" t="inlineStr">
        <is>
          <t>4. As abas Planejamento_Futsal e Planejamento_Volei recalculam confrontos previstos e pendentes automaticamente.</t>
        </is>
      </c>
    </row>
    <row r="7">
      <c r="A7" t="inlineStr">
        <is>
          <t>5. As abas Jogos e Classificação mudam de cor conforme o grupo selecionado.</t>
        </is>
      </c>
    </row>
    <row r="8">
      <c r="A8" t="inlineStr">
        <is>
          <t>6. Escudos e fotos devem ser inseridos manualmente sobre as células indicadas.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2026-03-18T14:48:55Z</dcterms:created>
  <dcterms:modified xmlns:dcterms="http://purl.org/dc/terms/" xmlns:xsi="http://www.w3.org/2001/XMLSchema-instance" xsi:type="dcterms:W3CDTF">2026-03-18T14:48:56Z</dcterms:modified>
</cp:coreProperties>
</file>